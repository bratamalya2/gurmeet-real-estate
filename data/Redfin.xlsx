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f7e1f402f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be48322ac14bde"/>
    <x:sheet xmlns:r="http://schemas.openxmlformats.org/officeDocument/2006/relationships" name="Transactions" sheetId="2" r:id="R2aff825e9fc746fc"/>
    <x:sheet xmlns:r="http://schemas.openxmlformats.org/officeDocument/2006/relationships" name="Sources &amp; Notes" sheetId="3" r:id="R49b242b51314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"/>
    <x:numFmt numFmtId="201" formatCode="mm/dd/yyyy"/>
    <x:numFmt numFmtId="202" formatCode="0.0"/>
    <x:numFmt numFmtId="203" formatCode="0"/>
    <x:numFmt numFmtId="204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4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ee31ecd7c4176" /><Relationship Type="http://schemas.openxmlformats.org/officeDocument/2006/relationships/theme" Target="/xl/theme/theme1.xml" Id="Rff9187b68ef844f8" /><Relationship Type="http://schemas.openxmlformats.org/officeDocument/2006/relationships/sharedStrings" Target="/xl/sharedStrings.xml" Id="R13b1908d9310427a" /><Relationship Type="http://schemas.openxmlformats.org/officeDocument/2006/relationships/worksheet" Target="/xl/worksheets/sheet1.xml" Id="Re9be48322ac14bde" /><Relationship Type="http://schemas.openxmlformats.org/officeDocument/2006/relationships/worksheet" Target="/xl/worksheets/sheet2.xml" Id="R2aff825e9fc746fc" /><Relationship Type="http://schemas.openxmlformats.org/officeDocument/2006/relationships/worksheet" Target="/xl/worksheets/sheet3.xml" Id="R49b242b513144e69" /></Relationships>
</file>

<file path=xl/tables/table1.xml><?xml version="1.0" encoding="utf-8"?>
<x:table xmlns:x="http://schemas.openxmlformats.org/spreadsheetml/2006/main" id="1" name="GurmeetTransactions" displayName="GurmeetTransactions" ref="A1:O124" headerRowCount="1" totalsRowCount="0" totalsRowShown="0">
  <x:tableColumns count="15">
    <x:tableColumn id="1" name="ID"/>
    <x:tableColumn id="2" name="Status"/>
    <x:tableColumn id="3" name="Address"/>
    <x:tableColumn id="4" name="City"/>
    <x:tableColumn id="5" name="State"/>
    <x:tableColumn id="6" name="ZIP"/>
    <x:tableColumn id="7" name="Price"/>
    <x:tableColumn id="8" name="Sold Date"/>
    <x:tableColumn id="9" name="Beds"/>
    <x:tableColumn id="10" name="Baths"/>
    <x:tableColumn id="11" name="Sq Ft"/>
    <x:tableColumn id="12" name="Side"/>
    <x:tableColumn id="13" name="Verification"/>
    <x:tableColumn id="14" name="Primary Source URL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0dacfb43b64e4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0" hidden="0" customWidth="1"/>
    <x:col min="5" max="5" width="70" hidden="0" customWidth="1"/>
  </x:cols>
  <x:sheetData>
    <x:row r="1" ht="19.200000762939453" hidden="0" customHeight="1">
      <x:c r="A1" s="5" t="str">
        <x:v>Gurmeet Singh — Listings &amp; Transaction Research</x:v>
      </x:c>
      <x:c r="B1" s="5"/>
      <x:c r="C1" s="5"/>
      <x:c r="D1" s="5"/>
      <x:c r="E1" s="5"/>
      <x:c r="F1" s="5"/>
      <x:c r="G1" s="5"/>
      <x:c r="H1" s="5"/>
    </x:row>
    <x:row r="2" ht="15" hidden="0" customHeight="1">
      <x:c r="A2" s="12" t="str">
        <x:v>CA DRE #01479256 | Deep-search workbook | Updated 2026-08-15</x:v>
      </x:c>
      <x:c r="B2" s="12"/>
      <x:c r="C2" s="12"/>
      <x:c r="D2" s="12"/>
      <x:c r="E2" s="12"/>
      <x:c r="F2" s="12"/>
      <x:c r="G2" s="12"/>
      <x:c r="H2" s="12"/>
    </x:row>
    <x:row r="3"/>
    <x:row r="4" ht="15" hidden="0" customHeight="1">
      <x:c r="A4" s="18" t="str">
        <x:v>Metric</x:v>
      </x:c>
      <x:c r="B4" s="18" t="str">
        <x:v>Value</x:v>
      </x:c>
      <x:c r="D4" s="58" t="str">
        <x:v>Workbook Notes</x:v>
      </x:c>
      <x:c r="E4" s="58" t="str"/>
    </x:row>
    <x:row r="5" ht="15" hidden="0" customHeight="1">
      <x:c r="A5" t="str">
        <x:v>Redfin total deals shown</x:v>
      </x:c>
      <x:c r="B5" s="30" t="n">
        <x:v>181</x:v>
      </x:c>
      <x:c r="D5" s="59" t="str">
        <x:v>Purpose</x:v>
      </x:c>
      <x:c r="E5" s="59" t="str">
        <x:v>Consolidated research dataset for website/database preparation.</x:v>
      </x:c>
    </x:row>
    <x:row r="6" ht="26.399999618530273" hidden="0" customHeight="1">
      <x:c r="A6" t="str">
        <x:v>Redfin sold with Gurmeet</x:v>
      </x:c>
      <x:c r="B6" s="30" t="n">
        <x:v>51</x:v>
      </x:c>
      <x:c r="D6" s="59" t="str">
        <x:v>Coverage</x:v>
      </x:c>
      <x:c r="E6" s="59" t="str">
        <x:v>Includes active listing + recovered historical transactions found through Redfin and corroborating property/agent pages.</x:v>
      </x:c>
    </x:row>
    <x:row r="7" ht="15" hidden="0" customHeight="1">
      <x:c r="A7" t="str">
        <x:v>Redfin bought with Gurmeet</x:v>
      </x:c>
      <x:c r="B7" s="30" t="n">
        <x:v>123</x:v>
      </x:c>
      <x:c r="D7" s="59" t="str">
        <x:v>Important</x:v>
      </x:c>
      <x:c r="E7" s="59" t="str">
        <x:v>Redfin's public profile does not expose all 181 transaction cards in static HTML.</x:v>
      </x:c>
    </x:row>
    <x:row r="8" ht="26.399999618530273" hidden="0" customHeight="1">
      <x:c r="A8" t="str">
        <x:v>Zillow total sales shown</x:v>
      </x:c>
      <x:c r="B8" s="30" t="n">
        <x:v>204</x:v>
      </x:c>
      <x:c r="D8" s="59" t="str">
        <x:v>Confidence</x:v>
      </x:c>
      <x:c r="E8" s="59" t="str">
        <x:v>Filter the Verification column. High-confidence rows were re-opened or corroborated; recovered rows need MLS verification before authoritative publication.</x:v>
      </x:c>
    </x:row>
    <x:row r="9" ht="26.399999618530273" hidden="0" customHeight="1">
      <x:c r="A9" t="str">
        <x:v>Recovered unique properties in this workbook</x:v>
      </x:c>
      <x:c r="B9" s="30" t="n">
        <x:v>123</x:v>
      </x:c>
      <x:c r="D9" s="59" t="str">
        <x:v>Counts mismatch</x:v>
      </x:c>
      <x:c r="E9" s="59" t="str">
        <x:v>Redfin shows 181 total deals while visible category counts sum differently; Zillow currently reports 204 sold transactions.</x:v>
      </x:c>
    </x:row>
    <x:row r="10" ht="15" hidden="0" customHeight="1">
      <x:c r="A10" t="str">
        <x:v>High-confidence rows</x:v>
      </x:c>
      <x:c r="B10" s="30" t="n">
        <x:f>COUNTIF(Transactions!P2:P124,"High")</x:f>
        <x:v>43</x:v>
      </x:c>
      <x:c r="D10" s="59" t="str">
        <x:v>Use</x:v>
      </x:c>
      <x:c r="E10" s="59" t="str">
        <x:v>Suitable as a working research sheet, not a substitute for licensed MLS/IDX data.</x:v>
      </x:c>
    </x:row>
    <x:row r="11"/>
    <x:row r="12" ht="15" hidden="0" customHeight="1">
      <x:c r="A12" s="18" t="str">
        <x:v>Working Dataset Summary</x:v>
      </x:c>
      <x:c r="B12" s="18" t="str"/>
    </x:row>
    <x:row r="13" ht="15" hidden="0" customHeight="1">
      <x:c r="A13" t="str">
        <x:v>Active listings</x:v>
      </x:c>
      <x:c r="B13" s="28" t="n">
        <x:f>COUNTIF(Transactions!B2:B124,"Active listing")</x:f>
        <x:v>1</x:v>
      </x:c>
    </x:row>
    <x:row r="14" ht="15" hidden="0" customHeight="1">
      <x:c r="A14" t="str">
        <x:v>Sold / recovered rows</x:v>
      </x:c>
      <x:c r="B14" s="28" t="n">
        <x:f>COUNTIF(Transactions!B2:B124,"Sold")+COUNTIF(Transactions!B2:B124,"Sold / recovered")</x:f>
        <x:v>122</x:v>
      </x:c>
    </x:row>
    <x:row r="15" ht="15" hidden="0" customHeight="1">
      <x:c r="A15" t="str">
        <x:v>Buyer-side identified</x:v>
      </x:c>
      <x:c r="B15" s="28" t="n">
        <x:f>COUNTIF(Transactions!Q2:Q124,"Buyer")</x:f>
        <x:v>27</x:v>
      </x:c>
    </x:row>
    <x:row r="16" ht="15" hidden="0" customHeight="1">
      <x:c r="A16" t="str">
        <x:v>Seller-side identified</x:v>
      </x:c>
      <x:c r="B16" s="28" t="n">
        <x:f>COUNTIF(Transactions!Q2:Q124,"Seller")</x:f>
        <x:v>13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30" hidden="0" customWidth="1"/>
    <x:col min="4" max="4" width="18" hidden="0" customWidth="1"/>
    <x:col min="5" max="5" width="8" hidden="0" customWidth="1"/>
    <x:col min="6" max="6" width="10" hidden="0" customWidth="1"/>
    <x:col min="7" max="7" width="14" hidden="0" customWidth="1"/>
    <x:col min="8" max="8" width="13" hidden="0" customWidth="1"/>
    <x:col min="9" max="9" width="8" hidden="0" customWidth="1"/>
    <x:col min="10" max="10" width="8" hidden="0" customWidth="1"/>
    <x:col min="11" max="11" width="10" hidden="0" customWidth="1"/>
    <x:col min="12" max="12" width="22" hidden="0" customWidth="1"/>
    <x:col min="13" max="13" width="28" hidden="0" customWidth="1"/>
    <x:col min="14" max="14" width="46" hidden="0" customWidth="1"/>
    <x:col min="15" max="15" width="42" hidden="0" customWidth="1"/>
    <x:col min="16" max="16" width="17" hidden="0" customWidth="1"/>
    <x:col min="17" max="17" width="12" hidden="0" customWidth="1"/>
    <x:col min="18" max="18" width="42" hidden="0" customWidth="1"/>
  </x:cols>
  <x:sheetData>
    <x:row r="1" ht="15" hidden="0" customHeight="1">
      <x:c r="A1" s="32" t="str">
        <x:v>ID</x:v>
      </x:c>
      <x:c r="B1" s="32" t="str">
        <x:v>Status</x:v>
      </x:c>
      <x:c r="C1" s="32" t="str">
        <x:v>Address</x:v>
      </x:c>
      <x:c r="D1" s="32" t="str">
        <x:v>City</x:v>
      </x:c>
      <x:c r="E1" s="32" t="str">
        <x:v>State</x:v>
      </x:c>
      <x:c r="F1" s="32" t="str">
        <x:v>ZIP</x:v>
      </x:c>
      <x:c r="G1" s="32" t="str">
        <x:v>Price</x:v>
      </x:c>
      <x:c r="H1" s="32" t="str">
        <x:v>Sold Date</x:v>
      </x:c>
      <x:c r="I1" s="32" t="str">
        <x:v>Beds</x:v>
      </x:c>
      <x:c r="J1" s="32" t="str">
        <x:v>Baths</x:v>
      </x:c>
      <x:c r="K1" s="32" t="str">
        <x:v>Sq Ft</x:v>
      </x:c>
      <x:c r="L1" s="32" t="str">
        <x:v>Side</x:v>
      </x:c>
      <x:c r="M1" s="32" t="str">
        <x:v>Verification</x:v>
      </x:c>
      <x:c r="N1" s="32" t="str">
        <x:v>Primary Source URL</x:v>
      </x:c>
      <x:c r="O1" s="32" t="str">
        <x:v>Notes</x:v>
      </x:c>
      <x:c r="P1" s="18" t="str">
        <x:v>Confidence Level</x:v>
      </x:c>
      <x:c r="Q1" s="18" t="str">
        <x:v>Side Group</x:v>
      </x:c>
      <x:c r="R1" s="67" t="str">
        <x:v>House Image Search URL</x:v>
      </x:c>
    </x:row>
    <x:row r="2" ht="26.399999618530273" hidden="0" customHeight="1">
      <x:c r="A2" s="33" t="n">
        <x:v>1</x:v>
      </x:c>
      <x:c r="B2" s="33" t="str">
        <x:v>Active listing</x:v>
      </x:c>
      <x:c r="C2" s="46" t="str">
        <x:v>1449 Dorona Ln</x:v>
      </x:c>
      <x:c r="D2" s="46" t="str">
        <x:v>Manteca</x:v>
      </x:c>
      <x:c r="E2" s="46" t="str">
        <x:v>CA</x:v>
      </x:c>
      <x:c r="F2" s="46" t="str">
        <x:v>95336</x:v>
      </x:c>
      <x:c r="G2" s="47" t="n">
        <x:v>630000</x:v>
      </x:c>
      <x:c r="H2" s="48"/>
      <x:c r="I2" s="49" t="n">
        <x:v>4</x:v>
      </x:c>
      <x:c r="J2" s="50" t="n">
        <x:v>2.5</x:v>
      </x:c>
      <x:c r="K2" s="51" t="n">
        <x:v>1811</x:v>
      </x:c>
      <x:c r="L2" s="46" t="str">
        <x:v>Listing</x:v>
      </x:c>
      <x:c r="M2" s="46" t="str">
        <x:v>High - current Redfin/Realtor.com profile</x:v>
      </x:c>
      <x:c r="N2" s="46" t="str">
        <x:v>https://www.redfin.com/real-estate-agents/gurmeet-singh</x:v>
      </x:c>
      <x:c r="O2" s="46" t="str">
        <x:v>Current active listing as of 2026-08-15.</x:v>
      </x:c>
      <x:c r="P2" t="str">
        <x:v>High</x:v>
      </x:c>
      <x:c r="Q2" t="str">
        <x:v>Listing</x:v>
      </x:c>
      <x:c r="R2" s="70" t="str">
        <x:v>https://www.google.com/search?tbm=isch&amp;q=%221449+Dorona+Ln%22+Manteca+CA+95336+house</x:v>
      </x:c>
    </x:row>
    <x:row r="3" ht="26.399999618530273" hidden="0" customHeight="1">
      <x:c r="A3" s="33" t="n">
        <x:v>2</x:v>
      </x:c>
      <x:c r="B3" s="33" t="str">
        <x:v>Sold</x:v>
      </x:c>
      <x:c r="C3" s="46" t="str">
        <x:v>24815 Townsend Ave</x:v>
      </x:c>
      <x:c r="D3" s="46" t="str">
        <x:v>Hayward</x:v>
      </x:c>
      <x:c r="E3" s="46" t="str">
        <x:v>CA</x:v>
      </x:c>
      <x:c r="F3" s="46" t="str">
        <x:v>94544</x:v>
      </x:c>
      <x:c r="G3" s="47" t="n">
        <x:v>870000</x:v>
      </x:c>
      <x:c r="H3" s="48" t="n">
        <x:v>46189</x:v>
      </x:c>
      <x:c r="I3" s="49" t="n">
        <x:v>3</x:v>
      </x:c>
      <x:c r="J3" s="50" t="n">
        <x:v>2</x:v>
      </x:c>
      <x:c r="K3" s="51" t="n">
        <x:v>1186</x:v>
      </x:c>
      <x:c r="L3" s="46" t="str">
        <x:v>Seller / co-listing</x:v>
      </x:c>
      <x:c r="M3" s="46" t="str">
        <x:v>High - Realtor.com + Homes.com</x:v>
      </x:c>
      <x:c r="N3" s="46" t="str">
        <x:v>https://www.realtor.com/realestateagents/56d64d26b5cc660100bd2576</x:v>
      </x:c>
      <x:c r="O3" s="46" t="str">
        <x:v>Recent activity tied to DRE #01479256.</x:v>
      </x:c>
      <x:c r="P3" t="str">
        <x:v>High</x:v>
      </x:c>
      <x:c r="Q3" t="str">
        <x:v>Seller</x:v>
      </x:c>
      <x:c r="R3" s="70" t="str">
        <x:v>https://www.google.com/search?tbm=isch&amp;q=%2224815+Townsend+Ave%22+Hayward+CA+94544+house</x:v>
      </x:c>
    </x:row>
    <x:row r="4" ht="26.399999618530273" hidden="0" customHeight="1">
      <x:c r="A4" s="33" t="n">
        <x:v>3</x:v>
      </x:c>
      <x:c r="B4" s="33" t="str">
        <x:v>Sold</x:v>
      </x:c>
      <x:c r="C4" s="46" t="str">
        <x:v>3586 Somerset Ave</x:v>
      </x:c>
      <x:c r="D4" s="46" t="str">
        <x:v>Castro Valley</x:v>
      </x:c>
      <x:c r="E4" s="46" t="str">
        <x:v>CA</x:v>
      </x:c>
      <x:c r="F4" s="46" t="str">
        <x:v>94546</x:v>
      </x:c>
      <x:c r="G4" s="47" t="n">
        <x:v>949000</x:v>
      </x:c>
      <x:c r="H4" s="48" t="n">
        <x:v>46171</x:v>
      </x:c>
      <x:c r="I4" s="49" t="n">
        <x:v>2</x:v>
      </x:c>
      <x:c r="J4" s="50" t="n">
        <x:v>1</x:v>
      </x:c>
      <x:c r="K4" s="51" t="n">
        <x:v>1916</x:v>
      </x:c>
      <x:c r="L4" s="46" t="str">
        <x:v>Buyer</x:v>
      </x:c>
      <x:c r="M4" s="46" t="str">
        <x:v>High - Zillow + Realtor.com + Redfin review</x:v>
      </x:c>
      <x:c r="N4" s="46" t="str">
        <x:v>https://www.realtor.com/realestateagents/56d64d26b5cc660100bd2576</x:v>
      </x:c>
      <x:c r="O4" s="46" t="str">
        <x:v>Zillow also shows Buyer.</x:v>
      </x:c>
      <x:c r="P4" t="str">
        <x:v>High</x:v>
      </x:c>
      <x:c r="Q4" t="str">
        <x:v>Buyer</x:v>
      </x:c>
      <x:c r="R4" s="70" t="str">
        <x:v>https://www.google.com/search?tbm=isch&amp;q=%223586+Somerset+Ave%22+Castro+Valley+CA+94546+house</x:v>
      </x:c>
    </x:row>
    <x:row r="5" ht="26.399999618530273" hidden="0" customHeight="1">
      <x:c r="A5" s="33" t="n">
        <x:v>4</x:v>
      </x:c>
      <x:c r="B5" s="33" t="str">
        <x:v>Sold</x:v>
      </x:c>
      <x:c r="C5" s="46" t="str">
        <x:v>39843 Cedar Blvd #219</x:v>
      </x:c>
      <x:c r="D5" s="46" t="str">
        <x:v>Newark</x:v>
      </x:c>
      <x:c r="E5" s="46" t="str">
        <x:v>CA</x:v>
      </x:c>
      <x:c r="F5" s="46" t="str">
        <x:v>94560</x:v>
      </x:c>
      <x:c r="G5" s="47" t="n">
        <x:v>500000</x:v>
      </x:c>
      <x:c r="H5" s="48" t="n">
        <x:v>46140</x:v>
      </x:c>
      <x:c r="I5" s="49" t="n">
        <x:v>2</x:v>
      </x:c>
      <x:c r="J5" s="50" t="n">
        <x:v>2</x:v>
      </x:c>
      <x:c r="K5" s="51" t="n">
        <x:v>1071</x:v>
      </x:c>
      <x:c r="L5" s="46" t="str">
        <x:v>Buyer</x:v>
      </x:c>
      <x:c r="M5" s="46" t="str">
        <x:v>High - Zillow + Realtor.com + Homes.com</x:v>
      </x:c>
      <x:c r="N5" s="46" t="str">
        <x:v>https://www.realtor.com/realestateagents/56d64d26b5cc660100bd2576</x:v>
      </x:c>
      <x:c r="O5" s="46" t="str">
        <x:v>Address appears as Unit 219 on Realtor.com.</x:v>
      </x:c>
      <x:c r="P5" t="str">
        <x:v>High</x:v>
      </x:c>
      <x:c r="Q5" t="str">
        <x:v>Buyer</x:v>
      </x:c>
      <x:c r="R5" s="70" t="str">
        <x:v>https://www.google.com/search?tbm=isch&amp;q=%2239843+Cedar+Blvd+%23219%22+Newark+CA+94560+house</x:v>
      </x:c>
    </x:row>
    <x:row r="6" ht="26.399999618530273" hidden="0" customHeight="1">
      <x:c r="A6" s="33" t="n">
        <x:v>5</x:v>
      </x:c>
      <x:c r="B6" s="33" t="str">
        <x:v>Sold</x:v>
      </x:c>
      <x:c r="C6" s="46" t="str">
        <x:v>35795 Cabral Dr</x:v>
      </x:c>
      <x:c r="D6" s="46" t="str">
        <x:v>Fremont</x:v>
      </x:c>
      <x:c r="E6" s="46" t="str">
        <x:v>CA</x:v>
      </x:c>
      <x:c r="F6" s="46" t="str">
        <x:v>94536</x:v>
      </x:c>
      <x:c r="G6" s="47" t="n">
        <x:v>1052000</x:v>
      </x:c>
      <x:c r="H6" s="48" t="n">
        <x:v>46133</x:v>
      </x:c>
      <x:c r="I6" s="49" t="n">
        <x:v>3</x:v>
      </x:c>
      <x:c r="J6" s="50" t="n">
        <x:v>2</x:v>
      </x:c>
      <x:c r="K6" s="51" t="n">
        <x:v>1150</x:v>
      </x:c>
      <x:c r="L6" s="46" t="str">
        <x:v>Buyer</x:v>
      </x:c>
      <x:c r="M6" s="46" t="str">
        <x:v>High - Zillow + Realtor.com</x:v>
      </x:c>
      <x:c r="N6" s="46" t="str">
        <x:v>https://www.realtor.com/realestateagents/56d64d26b5cc660100bd2576</x:v>
      </x:c>
      <x:c r="O6" s="46" t="str">
        <x:v>Recent sale.</x:v>
      </x:c>
      <x:c r="P6" t="str">
        <x:v>High</x:v>
      </x:c>
      <x:c r="Q6" t="str">
        <x:v>Buyer</x:v>
      </x:c>
      <x:c r="R6" s="70" t="str">
        <x:v>https://www.google.com/search?tbm=isch&amp;q=%2235795+Cabral+Dr%22+Fremont+CA+94536+house</x:v>
      </x:c>
    </x:row>
    <x:row r="7" ht="26.399999618530273" hidden="0" customHeight="1">
      <x:c r="A7" s="33" t="n">
        <x:v>6</x:v>
      </x:c>
      <x:c r="B7" s="33" t="str">
        <x:v>Sold</x:v>
      </x:c>
      <x:c r="C7" s="46" t="str">
        <x:v>14539 Cedar Valley Dr</x:v>
      </x:c>
      <x:c r="D7" s="46" t="str">
        <x:v>Lathrop</x:v>
      </x:c>
      <x:c r="E7" s="46" t="str">
        <x:v>CA</x:v>
      </x:c>
      <x:c r="F7" s="46" t="str">
        <x:v>95330</x:v>
      </x:c>
      <x:c r="G7" s="47" t="n">
        <x:v>450000</x:v>
      </x:c>
      <x:c r="H7" s="48" t="n">
        <x:v>46076</x:v>
      </x:c>
      <x:c r="I7" s="49" t="n">
        <x:v>3</x:v>
      </x:c>
      <x:c r="J7" s="50" t="n">
        <x:v>2</x:v>
      </x:c>
      <x:c r="K7" s="51" t="n">
        <x:v>1383</x:v>
      </x:c>
      <x:c r="L7" s="46" t="str">
        <x:v>Seller / listing</x:v>
      </x:c>
      <x:c r="M7" s="46" t="str">
        <x:v>High - Zillow + Realtor.com + Homes.com</x:v>
      </x:c>
      <x:c r="N7" s="46" t="str">
        <x:v>https://www.homes.com/real-estate-agents/gurmeet-singh/lt3ywbd/</x:v>
      </x:c>
      <x:c r="O7" s="46" t="str">
        <x:v>Homes.com identifies Gurmeet as listing agent.</x:v>
      </x:c>
      <x:c r="P7" t="str">
        <x:v>High</x:v>
      </x:c>
      <x:c r="Q7" t="str">
        <x:v>Seller</x:v>
      </x:c>
      <x:c r="R7" s="70" t="str">
        <x:v>https://www.google.com/search?tbm=isch&amp;q=%2214539+Cedar+Valley+Dr%22+Lathrop+CA+95330+house</x:v>
      </x:c>
    </x:row>
    <x:row r="8" ht="26.399999618530273" hidden="0" customHeight="1">
      <x:c r="A8" s="33" t="n">
        <x:v>7</x:v>
      </x:c>
      <x:c r="B8" s="33" t="str">
        <x:v>Sold</x:v>
      </x:c>
      <x:c r="C8" s="46" t="str">
        <x:v>2389 Northington Dr</x:v>
      </x:c>
      <x:c r="D8" s="46" t="str">
        <x:v>Tracy</x:v>
      </x:c>
      <x:c r="E8" s="46" t="str">
        <x:v>CA</x:v>
      </x:c>
      <x:c r="F8" s="46" t="str">
        <x:v>95377</x:v>
      </x:c>
      <x:c r="G8" s="47" t="n">
        <x:v>890000</x:v>
      </x:c>
      <x:c r="H8" s="48" t="n">
        <x:v>46002</x:v>
      </x:c>
      <x:c r="I8" s="49" t="n">
        <x:v>4</x:v>
      </x:c>
      <x:c r="J8" s="50" t="n">
        <x:v>3.5</x:v>
      </x:c>
      <x:c r="K8" s="51" t="n">
        <x:v>3514</x:v>
      </x:c>
      <x:c r="L8" s="46" t="str">
        <x:v>Both listing and buyer</x:v>
      </x:c>
      <x:c r="M8" s="46" t="str">
        <x:v>High - Realtor.com + Homes.com + Redfin property page</x:v>
      </x:c>
      <x:c r="N8" s="46" t="str">
        <x:v>https://www.realtor.com/realestateagents/56d64d26b5cc660100bd2576</x:v>
      </x:c>
      <x:c r="O8" s="46" t="str">
        <x:v>Both sides attributed to Gurmeet in deeper verification.</x:v>
      </x:c>
      <x:c r="P8" t="str">
        <x:v>High</x:v>
      </x:c>
      <x:c r="Q8" t="str">
        <x:v>Both</x:v>
      </x:c>
      <x:c r="R8" s="70" t="str">
        <x:v>https://www.google.com/search?tbm=isch&amp;q=%222389+Northington+Dr%22+Tracy+CA+95377+house</x:v>
      </x:c>
    </x:row>
    <x:row r="9" ht="26.399999618530273" hidden="0" customHeight="1">
      <x:c r="A9" s="33" t="n">
        <x:v>8</x:v>
      </x:c>
      <x:c r="B9" s="33" t="str">
        <x:v>Sold</x:v>
      </x:c>
      <x:c r="C9" s="46" t="str">
        <x:v>1995 Eleanor Loop</x:v>
      </x:c>
      <x:c r="D9" s="46" t="str">
        <x:v>Dublin</x:v>
      </x:c>
      <x:c r="E9" s="46" t="str">
        <x:v>CA</x:v>
      </x:c>
      <x:c r="F9" s="46" t="str">
        <x:v>94568</x:v>
      </x:c>
      <x:c r="G9" s="47" t="n">
        <x:v>2267645</x:v>
      </x:c>
      <x:c r="H9" s="48" t="n">
        <x:v>45961</x:v>
      </x:c>
      <x:c r="I9" s="49" t="n">
        <x:v>4</x:v>
      </x:c>
      <x:c r="J9" s="50" t="n">
        <x:v>3</x:v>
      </x:c>
      <x:c r="K9" s="51" t="n">
        <x:v>2743</x:v>
      </x:c>
      <x:c r="L9" s="46" t="str">
        <x:v>Buyer</x:v>
      </x:c>
      <x:c r="M9" s="46" t="str">
        <x:v>High - Realtor.com + Redfin property page</x:v>
      </x:c>
      <x:c r="N9" s="46" t="str">
        <x:v>https://www.realtor.com/realestateagents/56d64d26b5cc660100bd2576</x:v>
      </x:c>
      <x:c r="O9" s="46" t="str">
        <x:v>Realtor.com rounds to $2.27M.</x:v>
      </x:c>
      <x:c r="P9" t="str">
        <x:v>High</x:v>
      </x:c>
      <x:c r="Q9" t="str">
        <x:v>Buyer</x:v>
      </x:c>
      <x:c r="R9" s="70" t="str">
        <x:v>https://www.google.com/search?tbm=isch&amp;q=%221995+Eleanor+Loop%22+Dublin+CA+94568+house</x:v>
      </x:c>
    </x:row>
    <x:row r="10" ht="26.399999618530273" hidden="0" customHeight="1">
      <x:c r="A10" s="33" t="n">
        <x:v>9</x:v>
      </x:c>
      <x:c r="B10" s="33" t="str">
        <x:v>Sold</x:v>
      </x:c>
      <x:c r="C10" s="46" t="str">
        <x:v>2274 Peacock Pl #3</x:v>
      </x:c>
      <x:c r="D10" s="46" t="str">
        <x:v>Union City</x:v>
      </x:c>
      <x:c r="E10" s="46" t="str">
        <x:v>CA</x:v>
      </x:c>
      <x:c r="F10" s="46" t="str">
        <x:v>94587</x:v>
      </x:c>
      <x:c r="G10" s="47" t="n">
        <x:v>486000</x:v>
      </x:c>
      <x:c r="H10" s="48" t="n">
        <x:v>45904</x:v>
      </x:c>
      <x:c r="I10" s="49" t="n">
        <x:v>2</x:v>
      </x:c>
      <x:c r="J10" s="50" t="n">
        <x:v>1</x:v>
      </x:c>
      <x:c r="K10" s="51" t="n">
        <x:v>903</x:v>
      </x:c>
      <x:c r="L10" s="46" t="str">
        <x:v>Seller / listing</x:v>
      </x:c>
      <x:c r="M10" s="46" t="str">
        <x:v>High - Realtor.com + Homes.com + Redfin property page</x:v>
      </x:c>
      <x:c r="N10" s="46" t="str">
        <x:v>https://www.homes.com/real-estate-agents/gurmeet-singh/lt3ywbd/</x:v>
      </x:c>
      <x:c r="O10" s="46" t="str">
        <x:v>Realtor.com formats as Apt 3.</x:v>
      </x:c>
      <x:c r="P10" t="str">
        <x:v>High</x:v>
      </x:c>
      <x:c r="Q10" t="str">
        <x:v>Seller</x:v>
      </x:c>
      <x:c r="R10" s="70" t="str">
        <x:v>https://www.google.com/search?tbm=isch&amp;q=%222274+Peacock+Pl+%233%22+Union+City+CA+94587+house</x:v>
      </x:c>
    </x:row>
    <x:row r="11" ht="26.399999618530273" hidden="0" customHeight="1">
      <x:c r="A11" s="33" t="n">
        <x:v>10</x:v>
      </x:c>
      <x:c r="B11" s="33" t="str">
        <x:v>Sold</x:v>
      </x:c>
      <x:c r="C11" s="46" t="str">
        <x:v>3084 Sombrero Cir</x:v>
      </x:c>
      <x:c r="D11" s="46" t="str">
        <x:v>San Ramon</x:v>
      </x:c>
      <x:c r="E11" s="46" t="str">
        <x:v>CA</x:v>
      </x:c>
      <x:c r="F11" s="46" t="str">
        <x:v>94583</x:v>
      </x:c>
      <x:c r="G11" s="47" t="n">
        <x:v>1310000</x:v>
      </x:c>
      <x:c r="H11" s="48" t="n">
        <x:v>45874</x:v>
      </x:c>
      <x:c r="I11" s="49" t="n">
        <x:v>4</x:v>
      </x:c>
      <x:c r="J11" s="50" t="n">
        <x:v>3</x:v>
      </x:c>
      <x:c r="K11" s="51" t="n">
        <x:v>1972</x:v>
      </x:c>
      <x:c r="L11" s="46" t="str">
        <x:v>Buyer</x:v>
      </x:c>
      <x:c r="M11" s="46" t="str">
        <x:v>High - Realtor.com + Redfin property page</x:v>
      </x:c>
      <x:c r="N11" s="46" t="str">
        <x:v>https://www.realtor.com/realestateagents/56d64d26b5cc660100bd2576</x:v>
      </x:c>
      <x:c r="O11" s="46" t="str">
        <x:v>High-confidence corroborated record.</x:v>
      </x:c>
      <x:c r="P11" t="str">
        <x:v>High</x:v>
      </x:c>
      <x:c r="Q11" t="str">
        <x:v>Buyer</x:v>
      </x:c>
      <x:c r="R11" s="70" t="str">
        <x:v>https://www.google.com/search?tbm=isch&amp;q=%223084+Sombrero+Cir%22+San+Ramon+CA+94583+house</x:v>
      </x:c>
    </x:row>
    <x:row r="12" ht="26.399999618530273" hidden="0" customHeight="1">
      <x:c r="A12" s="33" t="n">
        <x:v>11</x:v>
      </x:c>
      <x:c r="B12" s="33" t="str">
        <x:v>Sold</x:v>
      </x:c>
      <x:c r="C12" s="46" t="str">
        <x:v>4191 Maple Meadows Dr</x:v>
      </x:c>
      <x:c r="D12" s="46" t="str">
        <x:v>Rancho Cordova</x:v>
      </x:c>
      <x:c r="E12" s="46" t="str">
        <x:v>CA</x:v>
      </x:c>
      <x:c r="F12" s="46" t="str">
        <x:v>95742</x:v>
      </x:c>
      <x:c r="G12" s="47" t="n">
        <x:v>770000</x:v>
      </x:c>
      <x:c r="H12" s="48" t="n">
        <x:v>45856</x:v>
      </x:c>
      <x:c r="I12" s="49" t="n">
        <x:v>4</x:v>
      </x:c>
      <x:c r="J12" s="50" t="n">
        <x:v>3</x:v>
      </x:c>
      <x:c r="K12" s="51" t="n">
        <x:v>3003</x:v>
      </x:c>
      <x:c r="L12" s="46" t="str">
        <x:v>Buyer</x:v>
      </x:c>
      <x:c r="M12" s="46" t="str">
        <x:v>High - Realtor.com + Redfin property page</x:v>
      </x:c>
      <x:c r="N12" s="46" t="str">
        <x:v>https://www.realtor.com/realestateagents/56d64d26b5cc660100bd2576</x:v>
      </x:c>
      <x:c r="O12" s="46" t="str"/>
      <x:c r="P12" t="str">
        <x:v>High</x:v>
      </x:c>
      <x:c r="Q12" t="str">
        <x:v>Buyer</x:v>
      </x:c>
      <x:c r="R12" s="70" t="str">
        <x:v>https://www.google.com/search?tbm=isch&amp;q=%224191+Maple+Meadows+Dr%22+Rancho+Cordova+CA+95742+house</x:v>
      </x:c>
    </x:row>
    <x:row r="13" ht="26.399999618530273" hidden="0" customHeight="1">
      <x:c r="A13" s="33" t="n">
        <x:v>12</x:v>
      </x:c>
      <x:c r="B13" s="33" t="str">
        <x:v>Sold</x:v>
      </x:c>
      <x:c r="C13" s="46" t="str">
        <x:v>231 Firethorn Ct</x:v>
      </x:c>
      <x:c r="D13" s="46" t="str">
        <x:v>San Ramon</x:v>
      </x:c>
      <x:c r="E13" s="46" t="str">
        <x:v>CA</x:v>
      </x:c>
      <x:c r="F13" s="46" t="str">
        <x:v>94582</x:v>
      </x:c>
      <x:c r="G13" s="47" t="n">
        <x:v>1650000</x:v>
      </x:c>
      <x:c r="H13" s="48" t="n">
        <x:v>45839</x:v>
      </x:c>
      <x:c r="I13" s="49" t="n">
        <x:v>4</x:v>
      </x:c>
      <x:c r="J13" s="50" t="n">
        <x:v>3</x:v>
      </x:c>
      <x:c r="K13" s="51" t="n">
        <x:v>2201</x:v>
      </x:c>
      <x:c r="L13" s="46" t="str">
        <x:v>Buyer</x:v>
      </x:c>
      <x:c r="M13" s="46" t="str">
        <x:v>High - Realtor.com + Redfin property page</x:v>
      </x:c>
      <x:c r="N13" s="46" t="str">
        <x:v>https://www.realtor.com/realestateagents/56d64d26b5cc660100bd2576</x:v>
      </x:c>
      <x:c r="O13" s="46" t="str">
        <x:v>High-confidence corroborated record.</x:v>
      </x:c>
      <x:c r="P13" t="str">
        <x:v>High</x:v>
      </x:c>
      <x:c r="Q13" t="str">
        <x:v>Buyer</x:v>
      </x:c>
      <x:c r="R13" s="70" t="str">
        <x:v>https://www.google.com/search?tbm=isch&amp;q=%22231+Firethorn+Ct%22+San+Ramon+CA+94582+house</x:v>
      </x:c>
    </x:row>
    <x:row r="14" ht="26.399999618530273" hidden="0" customHeight="1">
      <x:c r="A14" s="33" t="n">
        <x:v>13</x:v>
      </x:c>
      <x:c r="B14" s="33" t="str">
        <x:v>Sold</x:v>
      </x:c>
      <x:c r="C14" s="46" t="str">
        <x:v>2304 Morrison Ct</x:v>
      </x:c>
      <x:c r="D14" s="46" t="str">
        <x:v>Patterson</x:v>
      </x:c>
      <x:c r="E14" s="46" t="str">
        <x:v>CA</x:v>
      </x:c>
      <x:c r="F14" s="46" t="str">
        <x:v>95363</x:v>
      </x:c>
      <x:c r="G14" s="47" t="n">
        <x:v>492900</x:v>
      </x:c>
      <x:c r="H14" s="48" t="n">
        <x:v>45716</x:v>
      </x:c>
      <x:c r="I14" s="49" t="n">
        <x:v>3</x:v>
      </x:c>
      <x:c r="J14" s="50" t="n">
        <x:v>2</x:v>
      </x:c>
      <x:c r="K14" s="51" t="n">
        <x:v>1602</x:v>
      </x:c>
      <x:c r="L14" s="46" t="str">
        <x:v>Buyer</x:v>
      </x:c>
      <x:c r="M14" s="46" t="str">
        <x:v>High - Realtor.com + Redfin property page</x:v>
      </x:c>
      <x:c r="N14" s="46" t="str">
        <x:v>https://www.realtor.com/realestateagents/56d64d26b5cc660100bd2576</x:v>
      </x:c>
      <x:c r="O14" s="46" t="str">
        <x:v>High-confidence corroborated record.</x:v>
      </x:c>
      <x:c r="P14" t="str">
        <x:v>High</x:v>
      </x:c>
      <x:c r="Q14" t="str">
        <x:v>Buyer</x:v>
      </x:c>
      <x:c r="R14" s="70" t="str">
        <x:v>https://www.google.com/search?tbm=isch&amp;q=%222304+Morrison+Ct%22+Patterson+CA+95363+house</x:v>
      </x:c>
    </x:row>
    <x:row r="15" ht="26.399999618530273" hidden="0" customHeight="1">
      <x:c r="A15" s="33" t="n">
        <x:v>14</x:v>
      </x:c>
      <x:c r="B15" s="33" t="str">
        <x:v>Sold</x:v>
      </x:c>
      <x:c r="C15" s="46" t="str">
        <x:v>2711 Wylin Blvd</x:v>
      </x:c>
      <x:c r="D15" s="46" t="str">
        <x:v>Lathrop</x:v>
      </x:c>
      <x:c r="E15" s="46" t="str">
        <x:v>CA</x:v>
      </x:c>
      <x:c r="F15" s="46" t="str">
        <x:v>95330</x:v>
      </x:c>
      <x:c r="G15" s="47" t="n">
        <x:v>1100000</x:v>
      </x:c>
      <x:c r="H15" s="48" t="n">
        <x:v>45565</x:v>
      </x:c>
      <x:c r="I15" s="49" t="n">
        <x:v>4</x:v>
      </x:c>
      <x:c r="J15" s="50" t="n">
        <x:v>3.5</x:v>
      </x:c>
      <x:c r="K15" s="51" t="n">
        <x:v>3119</x:v>
      </x:c>
      <x:c r="L15" s="46" t="str">
        <x:v>Seller / listing</x:v>
      </x:c>
      <x:c r="M15" s="46" t="str">
        <x:v>High - Realtor.com + Homes.com + Redfin property page</x:v>
      </x:c>
      <x:c r="N15" s="46" t="str">
        <x:v>https://www.homes.com/real-estate-agents/gurmeet-singh/lt3ywbd/</x:v>
      </x:c>
      <x:c r="O15" s="46" t="str"/>
      <x:c r="P15" t="str">
        <x:v>High</x:v>
      </x:c>
      <x:c r="Q15" t="str">
        <x:v>Seller</x:v>
      </x:c>
      <x:c r="R15" s="70" t="str">
        <x:v>https://www.google.com/search?tbm=isch&amp;q=%222711+Wylin+Blvd%22+Lathrop+CA+95330+house</x:v>
      </x:c>
    </x:row>
    <x:row r="16" ht="26.399999618530273" hidden="0" customHeight="1">
      <x:c r="A16" s="33" t="n">
        <x:v>15</x:v>
      </x:c>
      <x:c r="B16" s="33" t="str">
        <x:v>Sold</x:v>
      </x:c>
      <x:c r="C16" s="46" t="str">
        <x:v>27566 Barcelona Ave</x:v>
      </x:c>
      <x:c r="D16" s="46" t="str">
        <x:v>Hayward</x:v>
      </x:c>
      <x:c r="E16" s="46" t="str">
        <x:v>CA</x:v>
      </x:c>
      <x:c r="F16" s="46" t="str">
        <x:v>94545</x:v>
      </x:c>
      <x:c r="G16" s="47" t="n">
        <x:v>855000</x:v>
      </x:c>
      <x:c r="H16" s="48" t="n">
        <x:v>45548</x:v>
      </x:c>
      <x:c r="I16" s="49" t="n">
        <x:v>3</x:v>
      </x:c>
      <x:c r="J16" s="50" t="n">
        <x:v>2</x:v>
      </x:c>
      <x:c r="K16" s="51" t="n">
        <x:v>1119</x:v>
      </x:c>
      <x:c r="L16" s="46" t="str">
        <x:v>Seller / listing</x:v>
      </x:c>
      <x:c r="M16" s="46" t="str">
        <x:v>High - Realtor.com + Homes.com + Compass</x:v>
      </x:c>
      <x:c r="N16" s="46" t="str">
        <x:v>https://www.realtor.com/realestateagents/56d64d26b5cc660100bd2576</x:v>
      </x:c>
      <x:c r="O16" s="46" t="str">
        <x:v>High-confidence corroborated record.</x:v>
      </x:c>
      <x:c r="P16" t="str">
        <x:v>High</x:v>
      </x:c>
      <x:c r="Q16" t="str">
        <x:v>Seller</x:v>
      </x:c>
      <x:c r="R16" s="70" t="str">
        <x:v>https://www.google.com/search?tbm=isch&amp;q=%2227566+Barcelona+Ave%22+Hayward+CA+94545+house</x:v>
      </x:c>
    </x:row>
    <x:row r="17" ht="26.399999618530273" hidden="0" customHeight="1">
      <x:c r="A17" s="33" t="n">
        <x:v>16</x:v>
      </x:c>
      <x:c r="B17" s="33" t="str">
        <x:v>Sold</x:v>
      </x:c>
      <x:c r="C17" s="46" t="str">
        <x:v>27704 Calaroga Ave</x:v>
      </x:c>
      <x:c r="D17" s="46" t="str">
        <x:v>Hayward</x:v>
      </x:c>
      <x:c r="E17" s="46" t="str">
        <x:v>CA</x:v>
      </x:c>
      <x:c r="F17" s="46" t="str">
        <x:v>94545</x:v>
      </x:c>
      <x:c r="G17" s="47" t="n">
        <x:v>880000</x:v>
      </x:c>
      <x:c r="H17" s="48" t="n">
        <x:v>45526</x:v>
      </x:c>
      <x:c r="I17" s="49" t="n">
        <x:v>4</x:v>
      </x:c>
      <x:c r="J17" s="50" t="n">
        <x:v>3</x:v>
      </x:c>
      <x:c r="K17" s="51" t="n">
        <x:v>1464</x:v>
      </x:c>
      <x:c r="L17" s="46" t="str">
        <x:v>Seller / listing</x:v>
      </x:c>
      <x:c r="M17" s="46" t="str">
        <x:v>High - Realtor.com + Homes.com</x:v>
      </x:c>
      <x:c r="N17" s="46" t="str">
        <x:v>https://www.realtor.com/realestateagents/56d64d26b5cc660100bd2576</x:v>
      </x:c>
      <x:c r="O17" s="46" t="str"/>
      <x:c r="P17" t="str">
        <x:v>High</x:v>
      </x:c>
      <x:c r="Q17" t="str">
        <x:v>Seller</x:v>
      </x:c>
      <x:c r="R17" s="70" t="str">
        <x:v>https://www.google.com/search?tbm=isch&amp;q=%2227704+Calaroga+Ave%22+Hayward+CA+94545+house</x:v>
      </x:c>
    </x:row>
    <x:row r="18" ht="26.399999618530273" hidden="0" customHeight="1">
      <x:c r="A18" s="33" t="n">
        <x:v>17</x:v>
      </x:c>
      <x:c r="B18" s="33" t="str">
        <x:v>Sold</x:v>
      </x:c>
      <x:c r="C18" s="46" t="str">
        <x:v>15563 Ronconi Dr</x:v>
      </x:c>
      <x:c r="D18" s="46" t="str">
        <x:v>San Lorenzo</x:v>
      </x:c>
      <x:c r="E18" s="46" t="str">
        <x:v>CA</x:v>
      </x:c>
      <x:c r="F18" s="46" t="str">
        <x:v>94580</x:v>
      </x:c>
      <x:c r="G18" s="47" t="n">
        <x:v>906000</x:v>
      </x:c>
      <x:c r="H18" s="48" t="n">
        <x:v>45468</x:v>
      </x:c>
      <x:c r="I18" s="49" t="n">
        <x:v>3</x:v>
      </x:c>
      <x:c r="J18" s="50" t="n">
        <x:v>2.5</x:v>
      </x:c>
      <x:c r="K18" s="51" t="n">
        <x:v>1388</x:v>
      </x:c>
      <x:c r="L18" s="46" t="str">
        <x:v>Seller / listing</x:v>
      </x:c>
      <x:c r="M18" s="46" t="str">
        <x:v>High - Homes.com + Zillow</x:v>
      </x:c>
      <x:c r="N18" s="46" t="str">
        <x:v>https://www.homes.com/real-estate-agents/gurmeet-singh/lt3ywbd/</x:v>
      </x:c>
      <x:c r="O18" s="46" t="str"/>
      <x:c r="P18" t="str">
        <x:v>High</x:v>
      </x:c>
      <x:c r="Q18" t="str">
        <x:v>Seller</x:v>
      </x:c>
      <x:c r="R18" s="70" t="str">
        <x:v>https://www.google.com/search?tbm=isch&amp;q=%2215563+Ronconi+Dr%22+San+Lorenzo+CA+94580+house</x:v>
      </x:c>
    </x:row>
    <x:row r="19" ht="26.399999618530273" hidden="0" customHeight="1">
      <x:c r="A19" s="33" t="n">
        <x:v>18</x:v>
      </x:c>
      <x:c r="B19" s="33" t="str">
        <x:v>Sold</x:v>
      </x:c>
      <x:c r="C19" s="46" t="str">
        <x:v>32616 Brenda Way #4</x:v>
      </x:c>
      <x:c r="D19" s="46" t="str">
        <x:v>Union City</x:v>
      </x:c>
      <x:c r="E19" s="46" t="str">
        <x:v>CA</x:v>
      </x:c>
      <x:c r="F19" s="46" t="str">
        <x:v>94587</x:v>
      </x:c>
      <x:c r="G19" s="47" t="n">
        <x:v>535000</x:v>
      </x:c>
      <x:c r="H19" s="48" t="n">
        <x:v>45386</x:v>
      </x:c>
      <x:c r="I19" s="49" t="n">
        <x:v>2</x:v>
      </x:c>
      <x:c r="J19" s="50" t="n">
        <x:v>1</x:v>
      </x:c>
      <x:c r="K19" s="51" t="n">
        <x:v>798</x:v>
      </x:c>
      <x:c r="L19" s="46" t="str">
        <x:v>Seller / listing</x:v>
      </x:c>
      <x:c r="M19" s="46" t="str">
        <x:v>High - Homes.com</x:v>
      </x:c>
      <x:c r="N19" s="46" t="str">
        <x:v>https://www.homes.com/real-estate-agents/gurmeet-singh/lt3ywbd/</x:v>
      </x:c>
      <x:c r="O19" s="46" t="str">
        <x:v>Separate property from 32640 Brenda Way #4.</x:v>
      </x:c>
      <x:c r="P19" t="str">
        <x:v>High</x:v>
      </x:c>
      <x:c r="Q19" t="str">
        <x:v>Seller</x:v>
      </x:c>
      <x:c r="R19" s="70" t="str">
        <x:v>https://www.google.com/search?tbm=isch&amp;q=%2232616+Brenda+Way+%234%22+Union+City+CA+94587+house</x:v>
      </x:c>
    </x:row>
    <x:row r="20" ht="26.399999618530273" hidden="0" customHeight="1">
      <x:c r="A20" s="33" t="n">
        <x:v>19</x:v>
      </x:c>
      <x:c r="B20" s="33" t="str">
        <x:v>Sold</x:v>
      </x:c>
      <x:c r="C20" s="46" t="str">
        <x:v>33127 Lake Superior Pl</x:v>
      </x:c>
      <x:c r="D20" s="46" t="str">
        <x:v>Fremont</x:v>
      </x:c>
      <x:c r="E20" s="46" t="str">
        <x:v>CA</x:v>
      </x:c>
      <x:c r="F20" s="46" t="str">
        <x:v>94555</x:v>
      </x:c>
      <x:c r="G20" s="47" t="n">
        <x:v>1055000</x:v>
      </x:c>
      <x:c r="H20" s="48" t="n">
        <x:v>45355</x:v>
      </x:c>
      <x:c r="I20" s="49" t="n">
        <x:v>2</x:v>
      </x:c>
      <x:c r="J20" s="50" t="n">
        <x:v>1</x:v>
      </x:c>
      <x:c r="K20" s="51" t="n">
        <x:v>880</x:v>
      </x:c>
      <x:c r="L20" s="46" t="str">
        <x:v>Buyer</x:v>
      </x:c>
      <x:c r="M20" s="46" t="str">
        <x:v>High - Zillow property page</x:v>
      </x:c>
      <x:c r="N20" s="46" t="str">
        <x:v>https://www.zillow.com/profile/Gurmeet%20Singh</x:v>
      </x:c>
      <x:c r="O20" s="46" t="str">
        <x:v>High-confidence corroborated record.</x:v>
      </x:c>
      <x:c r="P20" t="str">
        <x:v>High</x:v>
      </x:c>
      <x:c r="Q20" t="str">
        <x:v>Buyer</x:v>
      </x:c>
      <x:c r="R20" s="70" t="str">
        <x:v>https://www.google.com/search?tbm=isch&amp;q=%2233127+Lake+Superior+Pl%22+Fremont+CA+94555+house</x:v>
      </x:c>
    </x:row>
    <x:row r="21" ht="26.399999618530273" hidden="0" customHeight="1">
      <x:c r="A21" s="33" t="n">
        <x:v>20</x:v>
      </x:c>
      <x:c r="B21" s="33" t="str">
        <x:v>Sold</x:v>
      </x:c>
      <x:c r="C21" s="46" t="str">
        <x:v>252 Appian Way</x:v>
      </x:c>
      <x:c r="D21" s="46" t="str">
        <x:v>Union City</x:v>
      </x:c>
      <x:c r="E21" s="46" t="str">
        <x:v>CA</x:v>
      </x:c>
      <x:c r="F21" s="46" t="str">
        <x:v>94587</x:v>
      </x:c>
      <x:c r="G21" s="47" t="n">
        <x:v>1070000</x:v>
      </x:c>
      <x:c r="H21" s="48" t="n">
        <x:v>45232</x:v>
      </x:c>
      <x:c r="I21" s="49" t="n">
        <x:v>4</x:v>
      </x:c>
      <x:c r="J21" s="50" t="n">
        <x:v>2</x:v>
      </x:c>
      <x:c r="K21" s="51" t="n">
        <x:v>1766</x:v>
      </x:c>
      <x:c r="L21" s="46" t="str">
        <x:v>Buyer</x:v>
      </x:c>
      <x:c r="M21" s="46" t="str">
        <x:v>High - Compass property page</x:v>
      </x:c>
      <x:c r="N21" s="46" t="str">
        <x:v>https://www.compass.com/homedetails/252-Appian-Way-Union-City-CA-94587/1P5HPT_pid/</x:v>
      </x:c>
      <x:c r="O21" s="46" t="str">
        <x:v>High-confidence corroborated record.</x:v>
      </x:c>
      <x:c r="P21" t="str">
        <x:v>High</x:v>
      </x:c>
      <x:c r="Q21" t="str">
        <x:v>Buyer</x:v>
      </x:c>
      <x:c r="R21" s="70" t="str">
        <x:v>https://www.google.com/search?tbm=isch&amp;q=%22252+Appian+Way%22+Union+City+CA+94587+house</x:v>
      </x:c>
    </x:row>
    <x:row r="22" ht="26.399999618530273" hidden="0" customHeight="1">
      <x:c r="A22" s="33" t="n">
        <x:v>21</x:v>
      </x:c>
      <x:c r="B22" s="33" t="str">
        <x:v>Sold</x:v>
      </x:c>
      <x:c r="C22" s="46" t="str">
        <x:v>2650 Oliver Dr</x:v>
      </x:c>
      <x:c r="D22" s="46" t="str">
        <x:v>Hayward</x:v>
      </x:c>
      <x:c r="E22" s="46" t="str">
        <x:v>CA</x:v>
      </x:c>
      <x:c r="F22" s="46" t="str"/>
      <x:c r="G22" s="47" t="n">
        <x:v>680000</x:v>
      </x:c>
      <x:c r="H22" s="48" t="n">
        <x:v>45112</x:v>
      </x:c>
      <x:c r="I22" s="49"/>
      <x:c r="J22" s="50"/>
      <x:c r="K22" s="51"/>
      <x:c r="L22" s="46" t="str">
        <x:v>Seller / listing</x:v>
      </x:c>
      <x:c r="M22" s="46" t="str">
        <x:v>High - Homes.com property page</x:v>
      </x:c>
      <x:c r="N22" s="46" t="str">
        <x:v>https://www.homes.com/property/2650-oliver-dr-hayward-ca/5wrhsqbvqg0cz/</x:v>
      </x:c>
      <x:c r="O22" s="46" t="str"/>
      <x:c r="P22" t="str">
        <x:v>High</x:v>
      </x:c>
      <x:c r="Q22" t="str">
        <x:v>Seller</x:v>
      </x:c>
      <x:c r="R22" s="70" t="str">
        <x:v>https://www.google.com/search?tbm=isch&amp;q=%222650+Oliver+Dr%22+Hayward+CA+house</x:v>
      </x:c>
    </x:row>
    <x:row r="23" ht="26.399999618530273" hidden="0" customHeight="1">
      <x:c r="A23" s="33" t="n">
        <x:v>22</x:v>
      </x:c>
      <x:c r="B23" s="33" t="str">
        <x:v>Sold</x:v>
      </x:c>
      <x:c r="C23" s="46" t="str">
        <x:v>3184 Durant Ave</x:v>
      </x:c>
      <x:c r="D23" s="46" t="str">
        <x:v>San Jose</x:v>
      </x:c>
      <x:c r="E23" s="46" t="str">
        <x:v>CA</x:v>
      </x:c>
      <x:c r="F23" s="46" t="str">
        <x:v>95111</x:v>
      </x:c>
      <x:c r="G23" s="47" t="n">
        <x:v>999888</x:v>
      </x:c>
      <x:c r="H23" s="48" t="n">
        <x:v>44951</x:v>
      </x:c>
      <x:c r="I23" s="49" t="n">
        <x:v>3</x:v>
      </x:c>
      <x:c r="J23" s="50" t="n">
        <x:v>2</x:v>
      </x:c>
      <x:c r="K23" s="51" t="n">
        <x:v>1241</x:v>
      </x:c>
      <x:c r="L23" s="46" t="str">
        <x:v>Buyer</x:v>
      </x:c>
      <x:c r="M23" s="46" t="str">
        <x:v>High - Compass property page</x:v>
      </x:c>
      <x:c r="N23" s="46" t="str">
        <x:v>https://www.compass.com/homedetails/3184-Durant-Ave-San-Jose-CA-95111/1QVWU5_pid/</x:v>
      </x:c>
      <x:c r="O23" s="46" t="str">
        <x:v>High-confidence corroborated record.</x:v>
      </x:c>
      <x:c r="P23" t="str">
        <x:v>High</x:v>
      </x:c>
      <x:c r="Q23" t="str">
        <x:v>Buyer</x:v>
      </x:c>
      <x:c r="R23" s="70" t="str">
        <x:v>https://www.google.com/search?tbm=isch&amp;q=%223184+Durant+Ave%22+San+Jose+CA+95111+house</x:v>
      </x:c>
    </x:row>
    <x:row r="24" ht="26.399999618530273" hidden="0" customHeight="1">
      <x:c r="A24" s="33" t="n">
        <x:v>23</x:v>
      </x:c>
      <x:c r="B24" s="33" t="str">
        <x:v>Sold</x:v>
      </x:c>
      <x:c r="C24" s="46" t="str">
        <x:v>3333 Howard Cmn</x:v>
      </x:c>
      <x:c r="D24" s="46" t="str">
        <x:v>Fremont</x:v>
      </x:c>
      <x:c r="E24" s="46" t="str">
        <x:v>CA</x:v>
      </x:c>
      <x:c r="F24" s="46" t="str">
        <x:v>94536</x:v>
      </x:c>
      <x:c r="G24" s="47" t="n">
        <x:v>750000</x:v>
      </x:c>
      <x:c r="H24" s="48" t="n">
        <x:v>44698</x:v>
      </x:c>
      <x:c r="I24" s="49" t="n">
        <x:v>2</x:v>
      </x:c>
      <x:c r="J24" s="50" t="n">
        <x:v>2</x:v>
      </x:c>
      <x:c r="K24" s="51" t="n">
        <x:v>1024</x:v>
      </x:c>
      <x:c r="L24" s="46" t="str">
        <x:v>Buyer</x:v>
      </x:c>
      <x:c r="M24" s="46" t="str">
        <x:v>High - Compass property page</x:v>
      </x:c>
      <x:c r="N24" s="46" t="str">
        <x:v>https://www.compass.com/homedetails/3333-Howard-Common-Fremont-CA-94536/1PRI0X_pid/</x:v>
      </x:c>
      <x:c r="O24" s="46" t="str">
        <x:v>High-confidence corroborated record.</x:v>
      </x:c>
      <x:c r="P24" t="str">
        <x:v>High</x:v>
      </x:c>
      <x:c r="Q24" t="str">
        <x:v>Buyer</x:v>
      </x:c>
      <x:c r="R24" s="70" t="str">
        <x:v>https://www.google.com/search?tbm=isch&amp;q=%223333+Howard+Cmn%22+Fremont+CA+94536+house</x:v>
      </x:c>
    </x:row>
    <x:row r="25" ht="26.399999618530273" hidden="0" customHeight="1">
      <x:c r="A25" s="33" t="n">
        <x:v>24</x:v>
      </x:c>
      <x:c r="B25" s="33" t="str">
        <x:v>Sold</x:v>
      </x:c>
      <x:c r="C25" s="46" t="str">
        <x:v>2920 Woods Ct</x:v>
      </x:c>
      <x:c r="D25" s="46" t="str">
        <x:v>San Jose</x:v>
      </x:c>
      <x:c r="E25" s="46" t="str">
        <x:v>CA</x:v>
      </x:c>
      <x:c r="F25" s="46" t="str">
        <x:v>95148</x:v>
      </x:c>
      <x:c r="G25" s="47" t="n">
        <x:v>1250000</x:v>
      </x:c>
      <x:c r="H25" s="48" t="n">
        <x:v>44391</x:v>
      </x:c>
      <x:c r="I25" s="49" t="n">
        <x:v>3</x:v>
      </x:c>
      <x:c r="J25" s="50" t="n">
        <x:v>2</x:v>
      </x:c>
      <x:c r="K25" s="51" t="n">
        <x:v>1274</x:v>
      </x:c>
      <x:c r="L25" s="46" t="str">
        <x:v>Buyer</x:v>
      </x:c>
      <x:c r="M25" s="46" t="str">
        <x:v>High - Compass property page</x:v>
      </x:c>
      <x:c r="N25" s="46" t="str">
        <x:v>https://www.compass.com/listing/2920-woods-court-san-jose-ca-95148/791204355221217265/</x:v>
      </x:c>
      <x:c r="O25" s="46" t="str">
        <x:v>High-confidence corroborated record.</x:v>
      </x:c>
      <x:c r="P25" t="str">
        <x:v>High</x:v>
      </x:c>
      <x:c r="Q25" t="str">
        <x:v>Buyer</x:v>
      </x:c>
      <x:c r="R25" s="70" t="str">
        <x:v>https://www.google.com/search?tbm=isch&amp;q=%222920+Woods+Ct%22+San+Jose+CA+95148+house</x:v>
      </x:c>
    </x:row>
    <x:row r="26" ht="26.399999618530273" hidden="0" customHeight="1">
      <x:c r="A26" s="33" t="n">
        <x:v>25</x:v>
      </x:c>
      <x:c r="B26" s="33" t="str">
        <x:v>Sold</x:v>
      </x:c>
      <x:c r="C26" s="46" t="str">
        <x:v>930 Dolores Ave</x:v>
      </x:c>
      <x:c r="D26" s="46" t="str">
        <x:v>San Leandro</x:v>
      </x:c>
      <x:c r="E26" s="46" t="str">
        <x:v>CA</x:v>
      </x:c>
      <x:c r="F26" s="46" t="str">
        <x:v>94577</x:v>
      </x:c>
      <x:c r="G26" s="47" t="n">
        <x:v>968000</x:v>
      </x:c>
      <x:c r="H26" s="48" t="n">
        <x:v>44266</x:v>
      </x:c>
      <x:c r="I26" s="49"/>
      <x:c r="J26" s="50"/>
      <x:c r="K26" s="51"/>
      <x:c r="L26" s="46" t="str">
        <x:v>Seller / listing</x:v>
      </x:c>
      <x:c r="M26" s="46" t="str">
        <x:v>High - Compass property page</x:v>
      </x:c>
      <x:c r="N26" s="46" t="str">
        <x:v>https://www.compass.com/listing/930-dolores-avenue-san-leandro-ca-94577/704541915603688961/</x:v>
      </x:c>
      <x:c r="O26" s="46" t="str"/>
      <x:c r="P26" t="str">
        <x:v>High</x:v>
      </x:c>
      <x:c r="Q26" t="str">
        <x:v>Seller</x:v>
      </x:c>
      <x:c r="R26" s="70" t="str">
        <x:v>https://www.google.com/search?tbm=isch&amp;q=%22930+Dolores+Ave%22+San+Leandro+CA+94577+house</x:v>
      </x:c>
    </x:row>
    <x:row r="27" ht="26.399999618530273" hidden="0" customHeight="1">
      <x:c r="A27" s="33" t="n">
        <x:v>26</x:v>
      </x:c>
      <x:c r="B27" s="33" t="str">
        <x:v>Sold</x:v>
      </x:c>
      <x:c r="C27" s="46" t="str">
        <x:v>353 Shepherd Ave</x:v>
      </x:c>
      <x:c r="D27" s="46" t="str">
        <x:v>Hayward</x:v>
      </x:c>
      <x:c r="E27" s="46" t="str">
        <x:v>CA</x:v>
      </x:c>
      <x:c r="F27" s="46" t="str">
        <x:v>94544</x:v>
      </x:c>
      <x:c r="G27" s="47" t="n">
        <x:v>649000</x:v>
      </x:c>
      <x:c r="H27" s="48" t="n">
        <x:v>44127</x:v>
      </x:c>
      <x:c r="I27" s="49" t="n">
        <x:v>3</x:v>
      </x:c>
      <x:c r="J27" s="50" t="n">
        <x:v>1.5</x:v>
      </x:c>
      <x:c r="K27" s="51" t="n">
        <x:v>1576</x:v>
      </x:c>
      <x:c r="L27" s="46" t="str">
        <x:v>Buyer</x:v>
      </x:c>
      <x:c r="M27" s="46" t="str">
        <x:v>High - Compass property page</x:v>
      </x:c>
      <x:c r="N27" s="46" t="str">
        <x:v>https://www.compass.com/homedetails/353-Shepherd-Ave-Hayward-CA-94544/1PCDE7_pid/</x:v>
      </x:c>
      <x:c r="O27" s="46" t="str">
        <x:v>High-confidence corroborated record.</x:v>
      </x:c>
      <x:c r="P27" t="str">
        <x:v>High</x:v>
      </x:c>
      <x:c r="Q27" t="str">
        <x:v>Buyer</x:v>
      </x:c>
      <x:c r="R27" s="70" t="str">
        <x:v>https://www.google.com/search?tbm=isch&amp;q=%22353+Shepherd+Ave%22+Hayward+CA+94544+house</x:v>
      </x:c>
    </x:row>
    <x:row r="28" ht="26.399999618530273" hidden="0" customHeight="1">
      <x:c r="A28" s="33" t="n">
        <x:v>27</x:v>
      </x:c>
      <x:c r="B28" s="33" t="str">
        <x:v>Sold</x:v>
      </x:c>
      <x:c r="C28" s="46" t="str">
        <x:v>3134 San Ramon Ct</x:v>
      </x:c>
      <x:c r="D28" s="46" t="str">
        <x:v>Union City</x:v>
      </x:c>
      <x:c r="E28" s="46" t="str">
        <x:v>CA</x:v>
      </x:c>
      <x:c r="F28" s="46" t="str"/>
      <x:c r="G28" s="47" t="n">
        <x:v>942500</x:v>
      </x:c>
      <x:c r="H28" s="48" t="n">
        <x:v>43902</x:v>
      </x:c>
      <x:c r="I28" s="49"/>
      <x:c r="J28" s="50"/>
      <x:c r="K28" s="51"/>
      <x:c r="L28" s="46" t="str">
        <x:v>Seller / listing</x:v>
      </x:c>
      <x:c r="M28" s="46" t="str">
        <x:v>High - Homes.com property page</x:v>
      </x:c>
      <x:c r="N28" s="46" t="str">
        <x:v>https://www.homes.com/property/3134-san-ramon-ct-union-city-ca/jm1f230plrj3s/</x:v>
      </x:c>
      <x:c r="O28" s="46" t="str"/>
      <x:c r="P28" t="str">
        <x:v>High</x:v>
      </x:c>
      <x:c r="Q28" t="str">
        <x:v>Seller</x:v>
      </x:c>
      <x:c r="R28" s="70" t="str">
        <x:v>https://www.google.com/search?tbm=isch&amp;q=%223134+San+Ramon+Ct%22+Union+City+CA+house</x:v>
      </x:c>
    </x:row>
    <x:row r="29" ht="26.399999618530273" hidden="0" customHeight="1">
      <x:c r="A29" s="33" t="n">
        <x:v>28</x:v>
      </x:c>
      <x:c r="B29" s="33" t="str">
        <x:v>Sold</x:v>
      </x:c>
      <x:c r="C29" s="46" t="str">
        <x:v>1591 Riverview Ave</x:v>
      </x:c>
      <x:c r="D29" s="46" t="str">
        <x:v>Tracy</x:v>
      </x:c>
      <x:c r="E29" s="46" t="str">
        <x:v>CA</x:v>
      </x:c>
      <x:c r="F29" s="46" t="str">
        <x:v>95377</x:v>
      </x:c>
      <x:c r="G29" s="47" t="n">
        <x:v>537000</x:v>
      </x:c>
      <x:c r="H29" s="48" t="n">
        <x:v>43044</x:v>
      </x:c>
      <x:c r="I29" s="49" t="n">
        <x:v>5</x:v>
      </x:c>
      <x:c r="J29" s="50" t="n">
        <x:v>4</x:v>
      </x:c>
      <x:c r="K29" s="51" t="n">
        <x:v>3198</x:v>
      </x:c>
      <x:c r="L29" s="46" t="str">
        <x:v>Buyer</x:v>
      </x:c>
      <x:c r="M29" s="46" t="str">
        <x:v>High - Compass property page</x:v>
      </x:c>
      <x:c r="N29" s="46" t="str">
        <x:v>https://www.compass.com/homedetails/1591-Riverview-Ave-Tracy-CA-95377/1QLY22_pid/</x:v>
      </x:c>
      <x:c r="O29" s="46" t="str">
        <x:v>High-confidence corroborated record.</x:v>
      </x:c>
      <x:c r="P29" t="str">
        <x:v>High</x:v>
      </x:c>
      <x:c r="Q29" t="str">
        <x:v>Buyer</x:v>
      </x:c>
      <x:c r="R29" s="70" t="str">
        <x:v>https://www.google.com/search?tbm=isch&amp;q=%221591+Riverview+Ave%22+Tracy+CA+95377+house</x:v>
      </x:c>
    </x:row>
    <x:row r="30" ht="26.399999618530273" hidden="0" customHeight="1">
      <x:c r="A30" s="33" t="n">
        <x:v>29</x:v>
      </x:c>
      <x:c r="B30" s="33" t="str">
        <x:v>Sold</x:v>
      </x:c>
      <x:c r="C30" s="46" t="str">
        <x:v>2183 Joseph Damon Dr</x:v>
      </x:c>
      <x:c r="D30" s="46" t="str">
        <x:v>Tracy</x:v>
      </x:c>
      <x:c r="E30" s="46" t="str">
        <x:v>CA</x:v>
      </x:c>
      <x:c r="F30" s="46" t="str">
        <x:v>95377</x:v>
      </x:c>
      <x:c r="G30" s="47" t="n">
        <x:v>460750</x:v>
      </x:c>
      <x:c r="H30" s="48" t="n">
        <x:v>42902</x:v>
      </x:c>
      <x:c r="I30" s="49" t="n">
        <x:v>4</x:v>
      </x:c>
      <x:c r="J30" s="50" t="n">
        <x:v>2</x:v>
      </x:c>
      <x:c r="K30" s="51" t="n">
        <x:v>1648</x:v>
      </x:c>
      <x:c r="L30" s="46" t="str">
        <x:v>Buyer</x:v>
      </x:c>
      <x:c r="M30" s="46" t="str">
        <x:v>High - Compass property page</x:v>
      </x:c>
      <x:c r="N30" s="46" t="str">
        <x:v>https://www.compass.com/homedetails/2183-Joseph-Damon-Dr-Tracy-CA-95377/1RC9TH_pid/</x:v>
      </x:c>
      <x:c r="O30" s="46" t="str">
        <x:v>High-confidence corroborated record.</x:v>
      </x:c>
      <x:c r="P30" t="str">
        <x:v>High</x:v>
      </x:c>
      <x:c r="Q30" t="str">
        <x:v>Buyer</x:v>
      </x:c>
      <x:c r="R30" s="70" t="str">
        <x:v>https://www.google.com/search?tbm=isch&amp;q=%222183+Joseph+Damon+Dr%22+Tracy+CA+95377+house</x:v>
      </x:c>
    </x:row>
    <x:row r="31" ht="26.399999618530273" hidden="0" customHeight="1">
      <x:c r="A31" s="33" t="n">
        <x:v>30</x:v>
      </x:c>
      <x:c r="B31" s="33" t="str">
        <x:v>Sold</x:v>
      </x:c>
      <x:c r="C31" s="46" t="str">
        <x:v>2536 Yerba Hills Ct</x:v>
      </x:c>
      <x:c r="D31" s="46" t="str">
        <x:v>San Jose</x:v>
      </x:c>
      <x:c r="E31" s="46" t="str">
        <x:v>CA</x:v>
      </x:c>
      <x:c r="F31" s="46" t="str">
        <x:v>95121</x:v>
      </x:c>
      <x:c r="G31" s="47" t="n">
        <x:v>670000</x:v>
      </x:c>
      <x:c r="H31" s="48" t="n">
        <x:v>42583</x:v>
      </x:c>
      <x:c r="I31" s="49" t="n">
        <x:v>3</x:v>
      </x:c>
      <x:c r="J31" s="50" t="n">
        <x:v>2</x:v>
      </x:c>
      <x:c r="K31" s="51" t="n">
        <x:v>1216</x:v>
      </x:c>
      <x:c r="L31" s="46" t="str">
        <x:v>Buyer</x:v>
      </x:c>
      <x:c r="M31" s="46" t="str">
        <x:v>High - Compass property page</x:v>
      </x:c>
      <x:c r="N31" s="46" t="str">
        <x:v>https://www.compass.com/homedetails/2536-Yerba-Hills-Ct-San-Jose-CA-95121/25093046769106305_lid/</x:v>
      </x:c>
      <x:c r="O31" s="46" t="str">
        <x:v>High-confidence corroborated record.</x:v>
      </x:c>
      <x:c r="P31" t="str">
        <x:v>High</x:v>
      </x:c>
      <x:c r="Q31" t="str">
        <x:v>Buyer</x:v>
      </x:c>
      <x:c r="R31" s="70" t="str">
        <x:v>https://www.google.com/search?tbm=isch&amp;q=%222536+Yerba+Hills+Ct%22+San+Jose+CA+95121+house</x:v>
      </x:c>
    </x:row>
    <x:row r="32" ht="26.399999618530273" hidden="0" customHeight="1">
      <x:c r="A32" s="33" t="n">
        <x:v>31</x:v>
      </x:c>
      <x:c r="B32" s="33" t="str">
        <x:v>Sold</x:v>
      </x:c>
      <x:c r="C32" s="46" t="str">
        <x:v>2170 Park Arroyo Pl</x:v>
      </x:c>
      <x:c r="D32" s="46" t="str">
        <x:v>Hayward</x:v>
      </x:c>
      <x:c r="E32" s="46" t="str">
        <x:v>CA</x:v>
      </x:c>
      <x:c r="F32" s="46" t="str">
        <x:v>94545</x:v>
      </x:c>
      <x:c r="G32" s="47" t="n">
        <x:v>580000</x:v>
      </x:c>
      <x:c r="H32" s="48" t="n">
        <x:v>42562</x:v>
      </x:c>
      <x:c r="I32" s="49" t="n">
        <x:v>3</x:v>
      </x:c>
      <x:c r="J32" s="50" t="n">
        <x:v>2.5</x:v>
      </x:c>
      <x:c r="K32" s="51" t="n">
        <x:v>1646</x:v>
      </x:c>
      <x:c r="L32" s="46" t="str">
        <x:v>Buyer</x:v>
      </x:c>
      <x:c r="M32" s="46" t="str">
        <x:v>High - Compass property page</x:v>
      </x:c>
      <x:c r="N32" s="46" t="str">
        <x:v>https://www.compass.com/listing/2170-park-arroyo-place-hayward-ca-94545/25064235566395905/</x:v>
      </x:c>
      <x:c r="O32" s="46" t="str">
        <x:v>High-confidence corroborated record.</x:v>
      </x:c>
      <x:c r="P32" t="str">
        <x:v>High</x:v>
      </x:c>
      <x:c r="Q32" t="str">
        <x:v>Buyer</x:v>
      </x:c>
      <x:c r="R32" s="70" t="str">
        <x:v>https://www.google.com/search?tbm=isch&amp;q=%222170+Park+Arroyo+Pl%22+Hayward+CA+94545+house</x:v>
      </x:c>
    </x:row>
    <x:row r="33" ht="26.399999618530273" hidden="0" customHeight="1">
      <x:c r="A33" s="33" t="n">
        <x:v>32</x:v>
      </x:c>
      <x:c r="B33" s="33" t="str">
        <x:v>Sold</x:v>
      </x:c>
      <x:c r="C33" s="46" t="str">
        <x:v>37200 Meadowbrook Cmn #202</x:v>
      </x:c>
      <x:c r="D33" s="46" t="str">
        <x:v>Fremont</x:v>
      </x:c>
      <x:c r="E33" s="46" t="str">
        <x:v>CA</x:v>
      </x:c>
      <x:c r="F33" s="46" t="str"/>
      <x:c r="G33" s="47" t="n">
        <x:v>560000</x:v>
      </x:c>
      <x:c r="H33" s="48" t="n">
        <x:v>42503</x:v>
      </x:c>
      <x:c r="I33" s="49" t="n">
        <x:v>2</x:v>
      </x:c>
      <x:c r="J33" s="50" t="n">
        <x:v>2</x:v>
      </x:c>
      <x:c r="K33" s="51" t="n">
        <x:v>1061</x:v>
      </x:c>
      <x:c r="L33" s="46" t="str">
        <x:v>Buyer</x:v>
      </x:c>
      <x:c r="M33" s="46" t="str">
        <x:v>High - Homes.com property page</x:v>
      </x:c>
      <x:c r="N33" s="46" t="str">
        <x:v>https://www.homes.com/property/37200-meadowbrook-common-fremont-ca-unit-202/kq7g7lnqy6kq2/</x:v>
      </x:c>
      <x:c r="O33" s="46" t="str">
        <x:v>High-confidence corroborated record.</x:v>
      </x:c>
      <x:c r="P33" t="str">
        <x:v>High</x:v>
      </x:c>
      <x:c r="Q33" t="str">
        <x:v>Buyer</x:v>
      </x:c>
      <x:c r="R33" s="70" t="str">
        <x:v>https://www.google.com/search?tbm=isch&amp;q=%2237200+Meadowbrook+Cmn+%23202%22+Fremont+CA+house</x:v>
      </x:c>
    </x:row>
    <x:row r="34" ht="26.399999618530273" hidden="0" customHeight="1">
      <x:c r="A34" s="33" t="n">
        <x:v>33</x:v>
      </x:c>
      <x:c r="B34" s="33" t="str">
        <x:v>Sold</x:v>
      </x:c>
      <x:c r="C34" s="46" t="str">
        <x:v>6398 Ebensburg Ln</x:v>
      </x:c>
      <x:c r="D34" s="46" t="str">
        <x:v>Dublin</x:v>
      </x:c>
      <x:c r="E34" s="46" t="str">
        <x:v>CA</x:v>
      </x:c>
      <x:c r="F34" s="46" t="str">
        <x:v>94568</x:v>
      </x:c>
      <x:c r="G34" s="47" t="n">
        <x:v>749999</x:v>
      </x:c>
      <x:c r="H34" s="48" t="n">
        <x:v>42360</x:v>
      </x:c>
      <x:c r="I34" s="49" t="n">
        <x:v>3</x:v>
      </x:c>
      <x:c r="J34" s="50" t="n">
        <x:v>2</x:v>
      </x:c>
      <x:c r="K34" s="51" t="n">
        <x:v>1458</x:v>
      </x:c>
      <x:c r="L34" s="46" t="str">
        <x:v>Buyer</x:v>
      </x:c>
      <x:c r="M34" s="46" t="str">
        <x:v>High - Compass property page</x:v>
      </x:c>
      <x:c r="N34" s="46" t="str">
        <x:v>https://www.compass.com/listing/6398-ebensburg-lane-dublin-ca-94568/25076233817578689/</x:v>
      </x:c>
      <x:c r="O34" s="46" t="str">
        <x:v>High-confidence corroborated record.</x:v>
      </x:c>
      <x:c r="P34" t="str">
        <x:v>High</x:v>
      </x:c>
      <x:c r="Q34" t="str">
        <x:v>Buyer</x:v>
      </x:c>
      <x:c r="R34" s="70" t="str">
        <x:v>https://www.google.com/search?tbm=isch&amp;q=%226398+Ebensburg+Ln%22+Dublin+CA+94568+house</x:v>
      </x:c>
    </x:row>
    <x:row r="35" ht="26.399999618530273" hidden="0" customHeight="1">
      <x:c r="A35" s="33" t="n">
        <x:v>34</x:v>
      </x:c>
      <x:c r="B35" s="33" t="str">
        <x:v>Sold</x:v>
      </x:c>
      <x:c r="C35" s="46" t="str">
        <x:v>1169 Platinum St</x:v>
      </x:c>
      <x:c r="D35" s="46" t="str">
        <x:v>Union City</x:v>
      </x:c>
      <x:c r="E35" s="46" t="str">
        <x:v>CA</x:v>
      </x:c>
      <x:c r="F35" s="46" t="str">
        <x:v>94587</x:v>
      </x:c>
      <x:c r="G35" s="47" t="n">
        <x:v>918000</x:v>
      </x:c>
      <x:c r="H35" s="48" t="n">
        <x:v>42124</x:v>
      </x:c>
      <x:c r="I35" s="49"/>
      <x:c r="J35" s="50"/>
      <x:c r="K35" s="51"/>
      <x:c r="L35" s="46" t="str">
        <x:v>Buyer</x:v>
      </x:c>
      <x:c r="M35" s="46" t="str">
        <x:v>High - Redfin property page</x:v>
      </x:c>
      <x:c r="N35" s="46" t="str">
        <x:v>https://www.redfin.com/CA/Union-City/1169-Platinum-St-94587/home/2112158</x:v>
      </x:c>
      <x:c r="O35" s="46" t="str"/>
      <x:c r="P35" t="str">
        <x:v>High</x:v>
      </x:c>
      <x:c r="Q35" t="str">
        <x:v>Buyer</x:v>
      </x:c>
      <x:c r="R35" s="70" t="str">
        <x:v>https://www.google.com/search?tbm=isch&amp;q=%221169+Platinum+St%22+Union+City+CA+94587+house</x:v>
      </x:c>
    </x:row>
    <x:row r="36" ht="26.399999618530273" hidden="0" customHeight="1">
      <x:c r="A36" s="33" t="n">
        <x:v>35</x:v>
      </x:c>
      <x:c r="B36" s="33" t="str">
        <x:v>Sold</x:v>
      </x:c>
      <x:c r="C36" s="46" t="str">
        <x:v>1445 Cliff Swallow Dr</x:v>
      </x:c>
      <x:c r="D36" s="46" t="str">
        <x:v>Patterson</x:v>
      </x:c>
      <x:c r="E36" s="46" t="str">
        <x:v>CA</x:v>
      </x:c>
      <x:c r="F36" s="46" t="str">
        <x:v>95363</x:v>
      </x:c>
      <x:c r="G36" s="47" t="n">
        <x:v>258000</x:v>
      </x:c>
      <x:c r="H36" s="48" t="n">
        <x:v>41773</x:v>
      </x:c>
      <x:c r="I36" s="49" t="n">
        <x:v>3</x:v>
      </x:c>
      <x:c r="J36" s="50" t="n">
        <x:v>2.5</x:v>
      </x:c>
      <x:c r="K36" s="51" t="n">
        <x:v>2431</x:v>
      </x:c>
      <x:c r="L36" s="46" t="str">
        <x:v>Buyer</x:v>
      </x:c>
      <x:c r="M36" s="46" t="str">
        <x:v>High - Compass property page</x:v>
      </x:c>
      <x:c r="N36" s="46" t="str">
        <x:v>https://www.compass.com/homedetails/1445-Cliff-Swallow-Dr-Patterson-CA-95363/1QQEL9_pid/</x:v>
      </x:c>
      <x:c r="O36" s="46" t="str">
        <x:v>Corrected from earlier preliminary $363,000 value.</x:v>
      </x:c>
      <x:c r="P36" t="str">
        <x:v>High</x:v>
      </x:c>
      <x:c r="Q36" t="str">
        <x:v>Buyer</x:v>
      </x:c>
      <x:c r="R36" s="70" t="str">
        <x:v>https://www.google.com/search?tbm=isch&amp;q=%221445+Cliff+Swallow+Dr%22+Patterson+CA+95363+house</x:v>
      </x:c>
    </x:row>
    <x:row r="37" ht="26.399999618530273" hidden="0" customHeight="1">
      <x:c r="A37" s="33" t="n">
        <x:v>36</x:v>
      </x:c>
      <x:c r="B37" s="33" t="str">
        <x:v>Sold</x:v>
      </x:c>
      <x:c r="C37" s="46" t="str">
        <x:v>4248 Solar Cir</x:v>
      </x:c>
      <x:c r="D37" s="46" t="str">
        <x:v>Union City</x:v>
      </x:c>
      <x:c r="E37" s="46" t="str">
        <x:v>CA</x:v>
      </x:c>
      <x:c r="F37" s="46" t="str">
        <x:v>94587</x:v>
      </x:c>
      <x:c r="G37" s="47" t="n">
        <x:v>400000</x:v>
      </x:c>
      <x:c r="H37" s="48" t="n">
        <x:v>41486</x:v>
      </x:c>
      <x:c r="I37" s="49" t="n">
        <x:v>4</x:v>
      </x:c>
      <x:c r="J37" s="50" t="n">
        <x:v>2.5</x:v>
      </x:c>
      <x:c r="K37" s="51" t="n">
        <x:v>1584</x:v>
      </x:c>
      <x:c r="L37" s="46" t="str">
        <x:v>Buyer</x:v>
      </x:c>
      <x:c r="M37" s="46" t="str">
        <x:v>High - Compass property page</x:v>
      </x:c>
      <x:c r="N37" s="46" t="str">
        <x:v>https://www.compass.com/homedetails/4248-Solar-Cir-Union-City-CA-94587/1R4EKH_pid/</x:v>
      </x:c>
      <x:c r="O37" s="46" t="str">
        <x:v>High-confidence corroborated record.</x:v>
      </x:c>
      <x:c r="P37" t="str">
        <x:v>High</x:v>
      </x:c>
      <x:c r="Q37" t="str">
        <x:v>Buyer</x:v>
      </x:c>
      <x:c r="R37" s="70" t="str">
        <x:v>https://www.google.com/search?tbm=isch&amp;q=%224248+Solar+Cir%22+Union+City+CA+94587+house</x:v>
      </x:c>
    </x:row>
    <x:row r="38" ht="39.599998474121094" hidden="0" customHeight="1">
      <x:c r="A38" s="33" t="n">
        <x:v>37</x:v>
      </x:c>
      <x:c r="B38" s="33" t="str">
        <x:v>Sold / recovered</x:v>
      </x:c>
      <x:c r="C38" s="46" t="str">
        <x:v>1501 S Wolfe Rd</x:v>
      </x:c>
      <x:c r="D38" s="46" t="str">
        <x:v>Sunnyvale</x:v>
      </x:c>
      <x:c r="E38" s="46" t="str">
        <x:v>CA</x:v>
      </x:c>
      <x:c r="F38" s="46" t="str"/>
      <x:c r="G38" s="47" t="n">
        <x:v>2210000</x:v>
      </x:c>
      <x:c r="H38" s="48"/>
      <x:c r="I38" s="49" t="n">
        <x:v>5</x:v>
      </x:c>
      <x:c r="J38" s="50" t="n">
        <x:v>3.5</x:v>
      </x:c>
      <x:c r="K38" s="51" t="n">
        <x:v>2233</x:v>
      </x:c>
      <x:c r="L38" s="46" t="str">
        <x:v>Unknown</x:v>
      </x:c>
      <x:c r="M38" s="46" t="str">
        <x:v>Recovered from indexed Redfin/property sources; exact row source not individually re-opened</x:v>
      </x:c>
      <x:c r="N38" s="46" t="str">
        <x:v>https://www.redfin.com/real-estate-agents/gurmeet-singh</x:v>
      </x:c>
      <x:c r="O38" s="46" t="str">
        <x:v>Historical transaction recovered during deep search; verify against MLS before publishing as authoritative.</x:v>
      </x:c>
      <x:c r="P38" t="str">
        <x:v>Recovered</x:v>
      </x:c>
      <x:c r="Q38" t="str">
        <x:v>Unknown</x:v>
      </x:c>
      <x:c r="R38" s="70" t="str">
        <x:v>https://www.google.com/search?tbm=isch&amp;q=%221501+S+Wolfe+Rd%22+Sunnyvale+CA+house</x:v>
      </x:c>
    </x:row>
    <x:row r="39" ht="39.599998474121094" hidden="0" customHeight="1">
      <x:c r="A39" s="33" t="n">
        <x:v>38</x:v>
      </x:c>
      <x:c r="B39" s="33" t="str">
        <x:v>Sold / recovered</x:v>
      </x:c>
      <x:c r="C39" s="46" t="str">
        <x:v>3477 Fawn Dr</x:v>
      </x:c>
      <x:c r="D39" s="46" t="str">
        <x:v>San Jose</x:v>
      </x:c>
      <x:c r="E39" s="46" t="str">
        <x:v>CA</x:v>
      </x:c>
      <x:c r="F39" s="46" t="str"/>
      <x:c r="G39" s="47" t="n">
        <x:v>1875000</x:v>
      </x:c>
      <x:c r="H39" s="48"/>
      <x:c r="I39" s="49" t="n">
        <x:v>3</x:v>
      </x:c>
      <x:c r="J39" s="50" t="n">
        <x:v>2</x:v>
      </x:c>
      <x:c r="K39" s="51" t="n">
        <x:v>1676</x:v>
      </x:c>
      <x:c r="L39" s="46" t="str">
        <x:v>Unknown</x:v>
      </x:c>
      <x:c r="M39" s="46" t="str">
        <x:v>Recovered from indexed Redfin/property sources; exact row source not individually re-opened</x:v>
      </x:c>
      <x:c r="N39" s="46" t="str">
        <x:v>https://www.redfin.com/real-estate-agents/gurmeet-singh</x:v>
      </x:c>
      <x:c r="O39" s="46" t="str">
        <x:v>Historical transaction recovered during deep search; verify against MLS before publishing as authoritative.</x:v>
      </x:c>
      <x:c r="P39" t="str">
        <x:v>Recovered</x:v>
      </x:c>
      <x:c r="Q39" t="str">
        <x:v>Unknown</x:v>
      </x:c>
      <x:c r="R39" s="70" t="str">
        <x:v>https://www.google.com/search?tbm=isch&amp;q=%223477+Fawn+Dr%22+San+Jose+CA+house</x:v>
      </x:c>
    </x:row>
    <x:row r="40" ht="39.599998474121094" hidden="0" customHeight="1">
      <x:c r="A40" s="33" t="n">
        <x:v>39</x:v>
      </x:c>
      <x:c r="B40" s="33" t="str">
        <x:v>Sold / recovered</x:v>
      </x:c>
      <x:c r="C40" s="46" t="str">
        <x:v>3425 Decoto Rd</x:v>
      </x:c>
      <x:c r="D40" s="46" t="str">
        <x:v>Fremont</x:v>
      </x:c>
      <x:c r="E40" s="46" t="str">
        <x:v>CA</x:v>
      </x:c>
      <x:c r="F40" s="46" t="str"/>
      <x:c r="G40" s="47" t="n">
        <x:v>1725000</x:v>
      </x:c>
      <x:c r="H40" s="48"/>
      <x:c r="I40" s="49" t="n">
        <x:v>6</x:v>
      </x:c>
      <x:c r="J40" s="50" t="n">
        <x:v>4</x:v>
      </x:c>
      <x:c r="K40" s="51" t="n">
        <x:v>2064</x:v>
      </x:c>
      <x:c r="L40" s="46" t="str">
        <x:v>Unknown</x:v>
      </x:c>
      <x:c r="M40" s="46" t="str">
        <x:v>Recovered from indexed Redfin/property sources; exact row source not individually re-opened</x:v>
      </x:c>
      <x:c r="N40" s="46" t="str">
        <x:v>https://www.redfin.com/real-estate-agents/gurmeet-singh</x:v>
      </x:c>
      <x:c r="O40" s="46" t="str">
        <x:v>Historical transaction recovered during deep search; verify against MLS before publishing as authoritative.</x:v>
      </x:c>
      <x:c r="P40" t="str">
        <x:v>Recovered</x:v>
      </x:c>
      <x:c r="Q40" t="str">
        <x:v>Unknown</x:v>
      </x:c>
      <x:c r="R40" s="70" t="str">
        <x:v>https://www.google.com/search?tbm=isch&amp;q=%223425+Decoto+Rd%22+Fremont+CA+house</x:v>
      </x:c>
    </x:row>
    <x:row r="41" ht="39.599998474121094" hidden="0" customHeight="1">
      <x:c r="A41" s="33" t="n">
        <x:v>40</x:v>
      </x:c>
      <x:c r="B41" s="33" t="str">
        <x:v>Sold / recovered</x:v>
      </x:c>
      <x:c r="C41" s="46" t="str">
        <x:v>5061 Admiral Cmn</x:v>
      </x:c>
      <x:c r="D41" s="46" t="str">
        <x:v>Fremont</x:v>
      </x:c>
      <x:c r="E41" s="46" t="str">
        <x:v>CA</x:v>
      </x:c>
      <x:c r="F41" s="46" t="str"/>
      <x:c r="G41" s="47" t="n">
        <x:v>1408387</x:v>
      </x:c>
      <x:c r="H41" s="48"/>
      <x:c r="I41" s="49" t="n">
        <x:v>3</x:v>
      </x:c>
      <x:c r="J41" s="50" t="n">
        <x:v>2.5</x:v>
      </x:c>
      <x:c r="K41" s="51" t="n">
        <x:v>1843</x:v>
      </x:c>
      <x:c r="L41" s="46" t="str">
        <x:v>Unknown</x:v>
      </x:c>
      <x:c r="M41" s="46" t="str">
        <x:v>Recovered from indexed Redfin/property sources; exact row source not individually re-opened</x:v>
      </x:c>
      <x:c r="N41" s="46" t="str">
        <x:v>https://www.redfin.com/real-estate-agents/gurmeet-singh</x:v>
      </x:c>
      <x:c r="O41" s="46" t="str">
        <x:v>Historical transaction recovered during deep search; verify against MLS before publishing as authoritative.</x:v>
      </x:c>
      <x:c r="P41" t="str">
        <x:v>Recovered</x:v>
      </x:c>
      <x:c r="Q41" t="str">
        <x:v>Unknown</x:v>
      </x:c>
      <x:c r="R41" s="70" t="str">
        <x:v>https://www.google.com/search?tbm=isch&amp;q=%225061+Admiral+Cmn%22+Fremont+CA+house</x:v>
      </x:c>
    </x:row>
    <x:row r="42" ht="26.399999618530273" hidden="0" customHeight="1">
      <x:c r="A42" s="33" t="n">
        <x:v>41</x:v>
      </x:c>
      <x:c r="B42" s="33" t="str">
        <x:v>Sold</x:v>
      </x:c>
      <x:c r="C42" s="46" t="str">
        <x:v>4682 Burke Dr</x:v>
      </x:c>
      <x:c r="D42" s="46" t="str">
        <x:v>Santa Clara</x:v>
      </x:c>
      <x:c r="E42" s="46" t="str">
        <x:v>CA</x:v>
      </x:c>
      <x:c r="F42" s="46" t="str">
        <x:v>95054</x:v>
      </x:c>
      <x:c r="G42" s="47" t="n">
        <x:v>1405000</x:v>
      </x:c>
      <x:c r="H42" s="48"/>
      <x:c r="I42" s="49"/>
      <x:c r="J42" s="50"/>
      <x:c r="K42" s="51"/>
      <x:c r="L42" s="46" t="str">
        <x:v>Seller / listing</x:v>
      </x:c>
      <x:c r="M42" s="46" t="str">
        <x:v>High - property brokerage record</x:v>
      </x:c>
      <x:c r="N42" s="46" t="str">
        <x:v>https://berkhills.com/properties/CA/Santa-Clara/95054/10168/4682-burke-dr-santa-clara-ca-95054/482545605</x:v>
      </x:c>
      <x:c r="O42" s="46" t="str">
        <x:v>2021 transaction.</x:v>
      </x:c>
      <x:c r="P42" t="str">
        <x:v>High</x:v>
      </x:c>
      <x:c r="Q42" t="str">
        <x:v>Seller</x:v>
      </x:c>
      <x:c r="R42" s="70" t="str">
        <x:v>https://www.google.com/search?tbm=isch&amp;q=%224682+Burke+Dr%22+Santa+Clara+CA+95054+house</x:v>
      </x:c>
    </x:row>
    <x:row r="43" ht="39.599998474121094" hidden="0" customHeight="1">
      <x:c r="A43" s="33" t="n">
        <x:v>42</x:v>
      </x:c>
      <x:c r="B43" s="33" t="str">
        <x:v>Sold / recovered</x:v>
      </x:c>
      <x:c r="C43" s="46" t="str">
        <x:v>196 Benbow Ave</x:v>
      </x:c>
      <x:c r="D43" s="46" t="str">
        <x:v>San Jose</x:v>
      </x:c>
      <x:c r="E43" s="46" t="str">
        <x:v>CA</x:v>
      </x:c>
      <x:c r="F43" s="46" t="str"/>
      <x:c r="G43" s="47" t="n">
        <x:v>1362500</x:v>
      </x:c>
      <x:c r="H43" s="48"/>
      <x:c r="I43" s="49" t="n">
        <x:v>4</x:v>
      </x:c>
      <x:c r="J43" s="50" t="n">
        <x:v>2.5</x:v>
      </x:c>
      <x:c r="K43" s="51" t="n">
        <x:v>2186</x:v>
      </x:c>
      <x:c r="L43" s="46" t="str">
        <x:v>Unknown</x:v>
      </x:c>
      <x:c r="M43" s="46" t="str">
        <x:v>Recovered from indexed Redfin/property sources; exact row source not individually re-opened</x:v>
      </x:c>
      <x:c r="N43" s="46" t="str">
        <x:v>https://www.redfin.com/real-estate-agents/gurmeet-singh</x:v>
      </x:c>
      <x:c r="O43" s="46" t="str">
        <x:v>Historical transaction recovered during deep search; verify against MLS before publishing as authoritative.</x:v>
      </x:c>
      <x:c r="P43" t="str">
        <x:v>Recovered</x:v>
      </x:c>
      <x:c r="Q43" t="str">
        <x:v>Unknown</x:v>
      </x:c>
      <x:c r="R43" s="70" t="str">
        <x:v>https://www.google.com/search?tbm=isch&amp;q=%22196+Benbow+Ave%22+San+Jose+CA+house</x:v>
      </x:c>
    </x:row>
    <x:row r="44" ht="26.399999618530273" hidden="0" customHeight="1">
      <x:c r="A44" s="33" t="n">
        <x:v>43</x:v>
      </x:c>
      <x:c r="B44" s="33" t="str">
        <x:v>Sold</x:v>
      </x:c>
      <x:c r="C44" s="46" t="str">
        <x:v>6059 Golden Vista Dr</x:v>
      </x:c>
      <x:c r="D44" s="46" t="str">
        <x:v>San Jose</x:v>
      </x:c>
      <x:c r="E44" s="46" t="str">
        <x:v>CA</x:v>
      </x:c>
      <x:c r="F44" s="46" t="str">
        <x:v>95123</x:v>
      </x:c>
      <x:c r="G44" s="47" t="n">
        <x:v>1337000</x:v>
      </x:c>
      <x:c r="H44" s="48"/>
      <x:c r="I44" s="49" t="n">
        <x:v>3</x:v>
      </x:c>
      <x:c r="J44" s="50" t="n">
        <x:v>2.5</x:v>
      </x:c>
      <x:c r="K44" s="51" t="n">
        <x:v>1804</x:v>
      </x:c>
      <x:c r="L44" s="46" t="str">
        <x:v>Buyer</x:v>
      </x:c>
      <x:c r="M44" s="46" t="str">
        <x:v>High - Redfin property page</x:v>
      </x:c>
      <x:c r="N44" s="46" t="str">
        <x:v>https://www.redfin.com/CA/San-Jose/6059-Golden-Vista-Dr-95123/home/95957917</x:v>
      </x:c>
      <x:c r="O44" s="46" t="str">
        <x:v>Nov 2021 transaction; exact day not captured.</x:v>
      </x:c>
      <x:c r="P44" t="str">
        <x:v>High</x:v>
      </x:c>
      <x:c r="Q44" t="str">
        <x:v>Buyer</x:v>
      </x:c>
      <x:c r="R44" s="70" t="str">
        <x:v>https://www.google.com/search?tbm=isch&amp;q=%226059+Golden+Vista+Dr%22+San+Jose+CA+95123+house</x:v>
      </x:c>
    </x:row>
    <x:row r="45" ht="39.599998474121094" hidden="0" customHeight="1">
      <x:c r="A45" s="33" t="n">
        <x:v>44</x:v>
      </x:c>
      <x:c r="B45" s="33" t="str">
        <x:v>Sold / recovered</x:v>
      </x:c>
      <x:c r="C45" s="46" t="str">
        <x:v>29215 States St</x:v>
      </x:c>
      <x:c r="D45" s="46" t="str">
        <x:v>Hayward</x:v>
      </x:c>
      <x:c r="E45" s="46" t="str">
        <x:v>CA</x:v>
      </x:c>
      <x:c r="F45" s="46" t="str"/>
      <x:c r="G45" s="47" t="n">
        <x:v>1300000</x:v>
      </x:c>
      <x:c r="H45" s="48"/>
      <x:c r="I45" s="49" t="n">
        <x:v>4</x:v>
      </x:c>
      <x:c r="J45" s="50" t="n">
        <x:v>2.5</x:v>
      </x:c>
      <x:c r="K45" s="51" t="n">
        <x:v>1920</x:v>
      </x:c>
      <x:c r="L45" s="46" t="str">
        <x:v>Unknown</x:v>
      </x:c>
      <x:c r="M45" s="46" t="str">
        <x:v>Recovered from indexed Redfin/property sources; exact row source not individually re-opened</x:v>
      </x:c>
      <x:c r="N45" s="46" t="str">
        <x:v>https://www.redfin.com/real-estate-agents/gurmeet-singh</x:v>
      </x:c>
      <x:c r="O45" s="46" t="str">
        <x:v>Historical transaction recovered during deep search; verify against MLS before publishing as authoritative.</x:v>
      </x:c>
      <x:c r="P45" t="str">
        <x:v>Recovered</x:v>
      </x:c>
      <x:c r="Q45" t="str">
        <x:v>Unknown</x:v>
      </x:c>
      <x:c r="R45" s="70" t="str">
        <x:v>https://www.google.com/search?tbm=isch&amp;q=%2229215+States+St%22+Hayward+CA+house</x:v>
      </x:c>
    </x:row>
    <x:row r="46" ht="26.399999618530273" hidden="0" customHeight="1">
      <x:c r="A46" s="33" t="n">
        <x:v>45</x:v>
      </x:c>
      <x:c r="B46" s="33" t="str">
        <x:v>Sold</x:v>
      </x:c>
      <x:c r="C46" s="46" t="str">
        <x:v>37256 Saint Mary St</x:v>
      </x:c>
      <x:c r="D46" s="46" t="str">
        <x:v>Newark</x:v>
      </x:c>
      <x:c r="E46" s="46" t="str">
        <x:v>CA</x:v>
      </x:c>
      <x:c r="F46" s="46" t="str">
        <x:v>94560</x:v>
      </x:c>
      <x:c r="G46" s="47" t="n">
        <x:v>1246000</x:v>
      </x:c>
      <x:c r="H46" s="48"/>
      <x:c r="I46" s="49" t="n">
        <x:v>3</x:v>
      </x:c>
      <x:c r="J46" s="50" t="n">
        <x:v>2</x:v>
      </x:c>
      <x:c r="K46" s="51" t="n">
        <x:v>1114</x:v>
      </x:c>
      <x:c r="L46" s="46" t="str">
        <x:v>Both listing and buyer</x:v>
      </x:c>
      <x:c r="M46" s="46" t="str">
        <x:v>High - Redfin property page</x:v>
      </x:c>
      <x:c r="N46" s="46" t="str">
        <x:v>https://www.redfin.com/CA/Newark/37256-Saint-Mary-St-94560/home/1274793</x:v>
      </x:c>
      <x:c r="O46" s="46" t="str">
        <x:v>2022 transaction; exact date not captured in this pass.</x:v>
      </x:c>
      <x:c r="P46" t="str">
        <x:v>High</x:v>
      </x:c>
      <x:c r="Q46" t="str">
        <x:v>Both</x:v>
      </x:c>
      <x:c r="R46" s="70" t="str">
        <x:v>https://www.google.com/search?tbm=isch&amp;q=%2237256+Saint+Mary+St%22+Newark+CA+94560+house</x:v>
      </x:c>
    </x:row>
    <x:row r="47" ht="39.599998474121094" hidden="0" customHeight="1">
      <x:c r="A47" s="33" t="n">
        <x:v>46</x:v>
      </x:c>
      <x:c r="B47" s="33" t="str">
        <x:v>Sold / recovered</x:v>
      </x:c>
      <x:c r="C47" s="46" t="str">
        <x:v>2205 Menzel Pl</x:v>
      </x:c>
      <x:c r="D47" s="46" t="str">
        <x:v>Santa Clara</x:v>
      </x:c>
      <x:c r="E47" s="46" t="str">
        <x:v>CA</x:v>
      </x:c>
      <x:c r="F47" s="46" t="str"/>
      <x:c r="G47" s="47" t="n">
        <x:v>1210000</x:v>
      </x:c>
      <x:c r="H47" s="48"/>
      <x:c r="I47" s="49" t="n">
        <x:v>3</x:v>
      </x:c>
      <x:c r="J47" s="50" t="n">
        <x:v>2</x:v>
      </x:c>
      <x:c r="K47" s="51" t="n">
        <x:v>1400</x:v>
      </x:c>
      <x:c r="L47" s="46" t="str">
        <x:v>Unknown</x:v>
      </x:c>
      <x:c r="M47" s="46" t="str">
        <x:v>Recovered from indexed Redfin/property sources; exact row source not individually re-opened</x:v>
      </x:c>
      <x:c r="N47" s="46" t="str">
        <x:v>https://www.redfin.com/real-estate-agents/gurmeet-singh</x:v>
      </x:c>
      <x:c r="O47" s="46" t="str">
        <x:v>Historical transaction recovered during deep search; verify against MLS before publishing as authoritative.</x:v>
      </x:c>
      <x:c r="P47" t="str">
        <x:v>Recovered</x:v>
      </x:c>
      <x:c r="Q47" t="str">
        <x:v>Unknown</x:v>
      </x:c>
      <x:c r="R47" s="70" t="str">
        <x:v>https://www.google.com/search?tbm=isch&amp;q=%222205+Menzel+Pl%22+Santa+Clara+CA+house</x:v>
      </x:c>
    </x:row>
    <x:row r="48" ht="39.599998474121094" hidden="0" customHeight="1">
      <x:c r="A48" s="33" t="n">
        <x:v>47</x:v>
      </x:c>
      <x:c r="B48" s="33" t="str">
        <x:v>Sold / recovered</x:v>
      </x:c>
      <x:c r="C48" s="46" t="str">
        <x:v>689 Los Alamos Ave</x:v>
      </x:c>
      <x:c r="D48" s="46" t="str">
        <x:v>Livermore</x:v>
      </x:c>
      <x:c r="E48" s="46" t="str">
        <x:v>CA</x:v>
      </x:c>
      <x:c r="F48" s="46" t="str"/>
      <x:c r="G48" s="47" t="n">
        <x:v>1160000</x:v>
      </x:c>
      <x:c r="H48" s="48"/>
      <x:c r="I48" s="49" t="n">
        <x:v>3</x:v>
      </x:c>
      <x:c r="J48" s="50" t="n">
        <x:v>1.5</x:v>
      </x:c>
      <x:c r="K48" s="51" t="n">
        <x:v>1764</x:v>
      </x:c>
      <x:c r="L48" s="46" t="str">
        <x:v>Unknown</x:v>
      </x:c>
      <x:c r="M48" s="46" t="str">
        <x:v>Recovered from indexed Redfin/property sources; exact row source not individually re-opened</x:v>
      </x:c>
      <x:c r="N48" s="46" t="str">
        <x:v>https://www.redfin.com/real-estate-agents/gurmeet-singh</x:v>
      </x:c>
      <x:c r="O48" s="46" t="str">
        <x:v>Historical transaction recovered during deep search; verify against MLS before publishing as authoritative.</x:v>
      </x:c>
      <x:c r="P48" t="str">
        <x:v>Recovered</x:v>
      </x:c>
      <x:c r="Q48" t="str">
        <x:v>Unknown</x:v>
      </x:c>
      <x:c r="R48" s="70" t="str">
        <x:v>https://www.google.com/search?tbm=isch&amp;q=%22689+Los+Alamos+Ave%22+Livermore+CA+house</x:v>
      </x:c>
    </x:row>
    <x:row r="49" ht="39.599998474121094" hidden="0" customHeight="1">
      <x:c r="A49" s="33" t="n">
        <x:v>48</x:v>
      </x:c>
      <x:c r="B49" s="33" t="str">
        <x:v>Sold / recovered</x:v>
      </x:c>
      <x:c r="C49" s="46" t="str">
        <x:v>2388 Shoreside Ct</x:v>
      </x:c>
      <x:c r="D49" s="46" t="str">
        <x:v>Santa Clara</x:v>
      </x:c>
      <x:c r="E49" s="46" t="str">
        <x:v>CA</x:v>
      </x:c>
      <x:c r="F49" s="46" t="str"/>
      <x:c r="G49" s="47" t="n">
        <x:v>1085000</x:v>
      </x:c>
      <x:c r="H49" s="48"/>
      <x:c r="I49" s="49" t="n">
        <x:v>4</x:v>
      </x:c>
      <x:c r="J49" s="50" t="n">
        <x:v>2.5</x:v>
      </x:c>
      <x:c r="K49" s="51" t="n">
        <x:v>1800</x:v>
      </x:c>
      <x:c r="L49" s="46" t="str">
        <x:v>Unknown</x:v>
      </x:c>
      <x:c r="M49" s="46" t="str">
        <x:v>Recovered from indexed Redfin/property sources; exact row source not individually re-opened</x:v>
      </x:c>
      <x:c r="N49" s="46" t="str">
        <x:v>https://www.redfin.com/real-estate-agents/gurmeet-singh</x:v>
      </x:c>
      <x:c r="O49" s="46" t="str">
        <x:v>Historical transaction recovered during deep search; verify against MLS before publishing as authoritative.</x:v>
      </x:c>
      <x:c r="P49" t="str">
        <x:v>Recovered</x:v>
      </x:c>
      <x:c r="Q49" t="str">
        <x:v>Unknown</x:v>
      </x:c>
      <x:c r="R49" s="70" t="str">
        <x:v>https://www.google.com/search?tbm=isch&amp;q=%222388+Shoreside+Ct%22+Santa+Clara+CA+house</x:v>
      </x:c>
    </x:row>
    <x:row r="50" ht="39.599998474121094" hidden="0" customHeight="1">
      <x:c r="A50" s="33" t="n">
        <x:v>49</x:v>
      </x:c>
      <x:c r="B50" s="33" t="str">
        <x:v>Sold / recovered</x:v>
      </x:c>
      <x:c r="C50" s="46" t="str">
        <x:v>4066 Grama Ter</x:v>
      </x:c>
      <x:c r="D50" s="46" t="str">
        <x:v>Fremont</x:v>
      </x:c>
      <x:c r="E50" s="46" t="str">
        <x:v>CA</x:v>
      </x:c>
      <x:c r="F50" s="46" t="str"/>
      <x:c r="G50" s="47" t="n">
        <x:v>1085000</x:v>
      </x:c>
      <x:c r="H50" s="48"/>
      <x:c r="I50" s="49" t="n">
        <x:v>3</x:v>
      </x:c>
      <x:c r="J50" s="50" t="n">
        <x:v>1.5</x:v>
      </x:c>
      <x:c r="K50" s="51" t="n">
        <x:v>1390</x:v>
      </x:c>
      <x:c r="L50" s="46" t="str">
        <x:v>Unknown</x:v>
      </x:c>
      <x:c r="M50" s="46" t="str">
        <x:v>Recovered from indexed Redfin/property sources; exact row source not individually re-opened</x:v>
      </x:c>
      <x:c r="N50" s="46" t="str">
        <x:v>https://www.redfin.com/real-estate-agents/gurmeet-singh</x:v>
      </x:c>
      <x:c r="O50" s="46" t="str">
        <x:v>Historical transaction recovered during deep search; verify against MLS before publishing as authoritative.</x:v>
      </x:c>
      <x:c r="P50" t="str">
        <x:v>Recovered</x:v>
      </x:c>
      <x:c r="Q50" t="str">
        <x:v>Unknown</x:v>
      </x:c>
      <x:c r="R50" s="70" t="str">
        <x:v>https://www.google.com/search?tbm=isch&amp;q=%224066+Grama+Ter%22+Fremont+CA+house</x:v>
      </x:c>
    </x:row>
    <x:row r="51">
      <x:c r="A51" s="33" t="n">
        <x:v>50</x:v>
      </x:c>
      <x:c r="B51" s="33" t="str">
        <x:v>Sold / recovered</x:v>
      </x:c>
      <x:c r="C51" s="46" t="str">
        <x:v>36502 Dijon Dr</x:v>
      </x:c>
      <x:c r="D51" s="46" t="str">
        <x:v>Newark</x:v>
      </x:c>
      <x:c r="E51" s="46" t="str">
        <x:v>CA</x:v>
      </x:c>
      <x:c r="F51" s="46" t="str"/>
      <x:c r="G51" s="47" t="n">
        <x:v>1030000</x:v>
      </x:c>
      <x:c r="H51" s="48"/>
      <x:c r="I51" s="49" t="n">
        <x:v>5</x:v>
      </x:c>
      <x:c r="J51" s="50" t="n">
        <x:v>3</x:v>
      </x:c>
      <x:c r="K51" s="51" t="n">
        <x:v>2591</x:v>
      </x:c>
      <x:c r="L51" s="46" t="str">
        <x:v>Unknown</x:v>
      </x:c>
      <x:c r="M51" s="46" t="str">
        <x:v>Recovered from indexed Redfin/property sources; exact row source not individually re-opened</x:v>
      </x:c>
      <x:c r="N51" s="46" t="str">
        <x:v>https://www.redfin.com/real-estate-agents/gurmeet-singh</x:v>
      </x:c>
      <x:c r="O51" s="46" t="str">
        <x:v>Historical transaction recovered during deep search; verify against MLS before publishing as authoritative.</x:v>
      </x:c>
      <x:c r="P51" t="str">
        <x:v>Recovered</x:v>
      </x:c>
      <x:c r="Q51" t="str">
        <x:v>Unknown</x:v>
      </x:c>
      <x:c r="R51" s="70" t="str">
        <x:v>https://www.google.com/search?tbm=isch&amp;q=%2236502+Dijon+Dr%22+Newark+CA+house</x:v>
      </x:c>
    </x:row>
    <x:row r="52">
      <x:c r="A52" s="33" t="n">
        <x:v>51</x:v>
      </x:c>
      <x:c r="B52" s="33" t="str">
        <x:v>Sold / recovered</x:v>
      </x:c>
      <x:c r="C52" s="46" t="str">
        <x:v>5034 Bronte Ct</x:v>
      </x:c>
      <x:c r="D52" s="46" t="str">
        <x:v>Fremont</x:v>
      </x:c>
      <x:c r="E52" s="46" t="str">
        <x:v>CA</x:v>
      </x:c>
      <x:c r="F52" s="46" t="str"/>
      <x:c r="G52" s="47" t="n">
        <x:v>1001000</x:v>
      </x:c>
      <x:c r="H52" s="48"/>
      <x:c r="I52" s="49" t="n">
        <x:v>4</x:v>
      </x:c>
      <x:c r="J52" s="50" t="n">
        <x:v>2</x:v>
      </x:c>
      <x:c r="K52" s="51" t="n">
        <x:v>1854</x:v>
      </x:c>
      <x:c r="L52" s="46" t="str">
        <x:v>Unknown</x:v>
      </x:c>
      <x:c r="M52" s="46" t="str">
        <x:v>Recovered from indexed Redfin/property sources; exact row source not individually re-opened</x:v>
      </x:c>
      <x:c r="N52" s="46" t="str">
        <x:v>https://www.redfin.com/real-estate-agents/gurmeet-singh</x:v>
      </x:c>
      <x:c r="O52" s="46" t="str">
        <x:v>Historical transaction recovered during deep search; verify against MLS before publishing as authoritative.</x:v>
      </x:c>
      <x:c r="P52" t="str">
        <x:v>Recovered</x:v>
      </x:c>
      <x:c r="Q52" t="str">
        <x:v>Unknown</x:v>
      </x:c>
      <x:c r="R52" s="70" t="str">
        <x:v>https://www.google.com/search?tbm=isch&amp;q=%225034+Bronte+Ct%22+Fremont+CA+house</x:v>
      </x:c>
    </x:row>
    <x:row r="53">
      <x:c r="A53" s="33" t="n">
        <x:v>52</x:v>
      </x:c>
      <x:c r="B53" s="33" t="str">
        <x:v>Sold / recovered</x:v>
      </x:c>
      <x:c r="C53" s="46" t="str">
        <x:v>4250 Comet Cir</x:v>
      </x:c>
      <x:c r="D53" s="46" t="str">
        <x:v>Union City</x:v>
      </x:c>
      <x:c r="E53" s="46" t="str">
        <x:v>CA</x:v>
      </x:c>
      <x:c r="F53" s="46" t="str"/>
      <x:c r="G53" s="47" t="n">
        <x:v>835000</x:v>
      </x:c>
      <x:c r="H53" s="48"/>
      <x:c r="I53" s="49" t="n">
        <x:v>3</x:v>
      </x:c>
      <x:c r="J53" s="50" t="n">
        <x:v>1.5</x:v>
      </x:c>
      <x:c r="K53" s="51" t="n">
        <x:v>1125</x:v>
      </x:c>
      <x:c r="L53" s="46" t="str">
        <x:v>Unknown</x:v>
      </x:c>
      <x:c r="M53" s="46" t="str">
        <x:v>Recovered from indexed Redfin/property sources; exact row source not individually re-opened</x:v>
      </x:c>
      <x:c r="N53" s="46" t="str">
        <x:v>https://www.redfin.com/real-estate-agents/gurmeet-singh</x:v>
      </x:c>
      <x:c r="O53" s="46" t="str">
        <x:v>Historical transaction recovered during deep search; verify against MLS before publishing as authoritative.</x:v>
      </x:c>
      <x:c r="P53" t="str">
        <x:v>Recovered</x:v>
      </x:c>
      <x:c r="Q53" t="str">
        <x:v>Unknown</x:v>
      </x:c>
      <x:c r="R53" s="70" t="str">
        <x:v>https://www.google.com/search?tbm=isch&amp;q=%224250+Comet+Cir%22+Union+City+CA+house</x:v>
      </x:c>
    </x:row>
    <x:row r="54">
      <x:c r="A54" s="33" t="n">
        <x:v>53</x:v>
      </x:c>
      <x:c r="B54" s="33" t="str">
        <x:v>Sold / recovered</x:v>
      </x:c>
      <x:c r="C54" s="46" t="str">
        <x:v>8680 Bandon Dr</x:v>
      </x:c>
      <x:c r="D54" s="46" t="str">
        <x:v>Dublin</x:v>
      </x:c>
      <x:c r="E54" s="46" t="str">
        <x:v>CA</x:v>
      </x:c>
      <x:c r="F54" s="46" t="str"/>
      <x:c r="G54" s="47" t="n">
        <x:v>795800</x:v>
      </x:c>
      <x:c r="H54" s="48"/>
      <x:c r="I54" s="49" t="n">
        <x:v>3</x:v>
      </x:c>
      <x:c r="J54" s="50" t="n">
        <x:v>2</x:v>
      </x:c>
      <x:c r="K54" s="51" t="n">
        <x:v>1424</x:v>
      </x:c>
      <x:c r="L54" s="46" t="str">
        <x:v>Unknown</x:v>
      </x:c>
      <x:c r="M54" s="46" t="str">
        <x:v>Recovered from indexed Redfin/property sources; exact row source not individually re-opened</x:v>
      </x:c>
      <x:c r="N54" s="46" t="str">
        <x:v>https://www.redfin.com/real-estate-agents/gurmeet-singh</x:v>
      </x:c>
      <x:c r="O54" s="46" t="str">
        <x:v>Historical transaction recovered during deep search; verify against MLS before publishing as authoritative.</x:v>
      </x:c>
      <x:c r="P54" t="str">
        <x:v>Recovered</x:v>
      </x:c>
      <x:c r="Q54" t="str">
        <x:v>Unknown</x:v>
      </x:c>
      <x:c r="R54" s="70" t="str">
        <x:v>https://www.google.com/search?tbm=isch&amp;q=%228680+Bandon+Dr%22+Dublin+CA+house</x:v>
      </x:c>
    </x:row>
    <x:row r="55">
      <x:c r="A55" s="33" t="n">
        <x:v>54</x:v>
      </x:c>
      <x:c r="B55" s="33" t="str">
        <x:v>Sold / recovered</x:v>
      </x:c>
      <x:c r="C55" s="46" t="str">
        <x:v>3806 Amy Ct</x:v>
      </x:c>
      <x:c r="D55" s="46" t="str">
        <x:v>Union City</x:v>
      </x:c>
      <x:c r="E55" s="46" t="str">
        <x:v>CA</x:v>
      </x:c>
      <x:c r="F55" s="46" t="str"/>
      <x:c r="G55" s="47" t="n">
        <x:v>755000</x:v>
      </x:c>
      <x:c r="H55" s="48"/>
      <x:c r="I55" s="49" t="n">
        <x:v>4</x:v>
      </x:c>
      <x:c r="J55" s="50" t="n">
        <x:v>2.5</x:v>
      </x:c>
      <x:c r="K55" s="51" t="n">
        <x:v>1432</x:v>
      </x:c>
      <x:c r="L55" s="46" t="str">
        <x:v>Unknown</x:v>
      </x:c>
      <x:c r="M55" s="46" t="str">
        <x:v>Recovered from indexed Redfin/property sources; exact row source not individually re-opened</x:v>
      </x:c>
      <x:c r="N55" s="46" t="str">
        <x:v>https://www.redfin.com/real-estate-agents/gurmeet-singh</x:v>
      </x:c>
      <x:c r="O55" s="46" t="str">
        <x:v>Historical transaction recovered during deep search; verify against MLS before publishing as authoritative.</x:v>
      </x:c>
      <x:c r="P55" t="str">
        <x:v>Recovered</x:v>
      </x:c>
      <x:c r="Q55" t="str">
        <x:v>Unknown</x:v>
      </x:c>
      <x:c r="R55" s="70" t="str">
        <x:v>https://www.google.com/search?tbm=isch&amp;q=%223806+Amy+Ct%22+Union+City+CA+house</x:v>
      </x:c>
    </x:row>
    <x:row r="56">
      <x:c r="A56" s="33" t="n">
        <x:v>55</x:v>
      </x:c>
      <x:c r="B56" s="33" t="str">
        <x:v>Sold / recovered</x:v>
      </x:c>
      <x:c r="C56" s="46" t="str">
        <x:v>27720 Seminole Way</x:v>
      </x:c>
      <x:c r="D56" s="46" t="str">
        <x:v>Hayward</x:v>
      </x:c>
      <x:c r="E56" s="46" t="str">
        <x:v>CA</x:v>
      </x:c>
      <x:c r="F56" s="46" t="str"/>
      <x:c r="G56" s="47" t="n">
        <x:v>750000</x:v>
      </x:c>
      <x:c r="H56" s="48"/>
      <x:c r="I56" s="49" t="n">
        <x:v>4</x:v>
      </x:c>
      <x:c r="J56" s="50" t="n">
        <x:v>2</x:v>
      </x:c>
      <x:c r="K56" s="51"/>
      <x:c r="L56" s="46" t="str">
        <x:v>Unknown</x:v>
      </x:c>
      <x:c r="M56" s="46" t="str">
        <x:v>Recovered from indexed Redfin/property sources; exact row source not individually re-opened</x:v>
      </x:c>
      <x:c r="N56" s="46" t="str">
        <x:v>https://www.redfin.com/real-estate-agents/gurmeet-singh</x:v>
      </x:c>
      <x:c r="O56" s="46" t="str">
        <x:v>Historical transaction recovered during deep search; verify against MLS before publishing as authoritative.</x:v>
      </x:c>
      <x:c r="P56" t="str">
        <x:v>Recovered</x:v>
      </x:c>
      <x:c r="Q56" t="str">
        <x:v>Unknown</x:v>
      </x:c>
      <x:c r="R56" s="70" t="str">
        <x:v>https://www.google.com/search?tbm=isch&amp;q=%2227720+Seminole+Way%22+Hayward+CA+house</x:v>
      </x:c>
    </x:row>
    <x:row r="57">
      <x:c r="A57" s="33" t="n">
        <x:v>56</x:v>
      </x:c>
      <x:c r="B57" s="33" t="str">
        <x:v>Sold / recovered</x:v>
      </x:c>
      <x:c r="C57" s="46" t="str">
        <x:v>4718 Bonsai Ave</x:v>
      </x:c>
      <x:c r="D57" s="46" t="str">
        <x:v>Tracy</x:v>
      </x:c>
      <x:c r="E57" s="46" t="str">
        <x:v>CA</x:v>
      </x:c>
      <x:c r="F57" s="46" t="str"/>
      <x:c r="G57" s="47" t="n">
        <x:v>729100</x:v>
      </x:c>
      <x:c r="H57" s="48"/>
      <x:c r="I57" s="49" t="n">
        <x:v>3</x:v>
      </x:c>
      <x:c r="J57" s="50" t="n">
        <x:v>2.5</x:v>
      </x:c>
      <x:c r="K57" s="51" t="n">
        <x:v>1858</x:v>
      </x:c>
      <x:c r="L57" s="46" t="str">
        <x:v>Unknown</x:v>
      </x:c>
      <x:c r="M57" s="46" t="str">
        <x:v>Recovered from indexed Redfin/property sources; exact row source not individually re-opened</x:v>
      </x:c>
      <x:c r="N57" s="46" t="str">
        <x:v>https://www.redfin.com/real-estate-agents/gurmeet-singh</x:v>
      </x:c>
      <x:c r="O57" s="46" t="str">
        <x:v>Historical transaction recovered during deep search; verify against MLS before publishing as authoritative.</x:v>
      </x:c>
      <x:c r="P57" t="str">
        <x:v>Recovered</x:v>
      </x:c>
      <x:c r="Q57" t="str">
        <x:v>Unknown</x:v>
      </x:c>
      <x:c r="R57" s="70" t="str">
        <x:v>https://www.google.com/search?tbm=isch&amp;q=%224718+Bonsai+Ave%22+Tracy+CA+house</x:v>
      </x:c>
    </x:row>
    <x:row r="58">
      <x:c r="A58" s="33" t="n">
        <x:v>57</x:v>
      </x:c>
      <x:c r="B58" s="33" t="str">
        <x:v>Sold / recovered</x:v>
      </x:c>
      <x:c r="C58" s="46" t="str">
        <x:v>929 Pendleton Ct</x:v>
      </x:c>
      <x:c r="D58" s="46" t="str">
        <x:v>Oakley</x:v>
      </x:c>
      <x:c r="E58" s="46" t="str">
        <x:v>CA</x:v>
      </x:c>
      <x:c r="F58" s="46" t="str"/>
      <x:c r="G58" s="47" t="n">
        <x:v>725000</x:v>
      </x:c>
      <x:c r="H58" s="48"/>
      <x:c r="I58" s="49" t="n">
        <x:v>5</x:v>
      </x:c>
      <x:c r="J58" s="50" t="n">
        <x:v>3</x:v>
      </x:c>
      <x:c r="K58" s="51" t="n">
        <x:v>2872</x:v>
      </x:c>
      <x:c r="L58" s="46" t="str">
        <x:v>Unknown</x:v>
      </x:c>
      <x:c r="M58" s="46" t="str">
        <x:v>Recovered from indexed Redfin/property sources; exact row source not individually re-opened</x:v>
      </x:c>
      <x:c r="N58" s="46" t="str">
        <x:v>https://www.redfin.com/real-estate-agents/gurmeet-singh</x:v>
      </x:c>
      <x:c r="O58" s="46" t="str">
        <x:v>Historical transaction recovered during deep search; verify against MLS before publishing as authoritative.</x:v>
      </x:c>
      <x:c r="P58" t="str">
        <x:v>Recovered</x:v>
      </x:c>
      <x:c r="Q58" t="str">
        <x:v>Unknown</x:v>
      </x:c>
      <x:c r="R58" s="70" t="str">
        <x:v>https://www.google.com/search?tbm=isch&amp;q=%22929+Pendleton+Ct%22+Oakley+CA+house</x:v>
      </x:c>
    </x:row>
    <x:row r="59">
      <x:c r="A59" s="33" t="n">
        <x:v>58</x:v>
      </x:c>
      <x:c r="B59" s="33" t="str">
        <x:v>Sold / recovered</x:v>
      </x:c>
      <x:c r="C59" s="46" t="str">
        <x:v>1517 Trimingham Dr</x:v>
      </x:c>
      <x:c r="D59" s="46" t="str">
        <x:v>Pleasanton</x:v>
      </x:c>
      <x:c r="E59" s="46" t="str">
        <x:v>CA</x:v>
      </x:c>
      <x:c r="F59" s="46" t="str"/>
      <x:c r="G59" s="47" t="n">
        <x:v>707000</x:v>
      </x:c>
      <x:c r="H59" s="48"/>
      <x:c r="I59" s="49" t="n">
        <x:v>3</x:v>
      </x:c>
      <x:c r="J59" s="50" t="n">
        <x:v>3</x:v>
      </x:c>
      <x:c r="K59" s="51" t="n">
        <x:v>1609</x:v>
      </x:c>
      <x:c r="L59" s="46" t="str">
        <x:v>Unknown</x:v>
      </x:c>
      <x:c r="M59" s="46" t="str">
        <x:v>Recovered from indexed Redfin/property sources; exact row source not individually re-opened</x:v>
      </x:c>
      <x:c r="N59" s="46" t="str">
        <x:v>https://www.redfin.com/real-estate-agents/gurmeet-singh</x:v>
      </x:c>
      <x:c r="O59" s="46" t="str">
        <x:v>Historical transaction recovered during deep search; verify against MLS before publishing as authoritative.</x:v>
      </x:c>
      <x:c r="P59" t="str">
        <x:v>Recovered</x:v>
      </x:c>
      <x:c r="Q59" t="str">
        <x:v>Unknown</x:v>
      </x:c>
      <x:c r="R59" s="70" t="str">
        <x:v>https://www.google.com/search?tbm=isch&amp;q=%221517+Trimingham+Dr%22+Pleasanton+CA+house</x:v>
      </x:c>
    </x:row>
    <x:row r="60">
      <x:c r="A60" s="33" t="n">
        <x:v>59</x:v>
      </x:c>
      <x:c r="B60" s="33" t="str">
        <x:v>Sold / recovered</x:v>
      </x:c>
      <x:c r="C60" s="46" t="str">
        <x:v>24623 Pontiac St</x:v>
      </x:c>
      <x:c r="D60" s="46" t="str">
        <x:v>Hayward</x:v>
      </x:c>
      <x:c r="E60" s="46" t="str">
        <x:v>CA</x:v>
      </x:c>
      <x:c r="F60" s="46" t="str"/>
      <x:c r="G60" s="47" t="n">
        <x:v>703000</x:v>
      </x:c>
      <x:c r="H60" s="48"/>
      <x:c r="I60" s="49" t="n">
        <x:v>3</x:v>
      </x:c>
      <x:c r="J60" s="50" t="n">
        <x:v>1</x:v>
      </x:c>
      <x:c r="K60" s="51" t="n">
        <x:v>1093</x:v>
      </x:c>
      <x:c r="L60" s="46" t="str">
        <x:v>Unknown</x:v>
      </x:c>
      <x:c r="M60" s="46" t="str">
        <x:v>Recovered from indexed Redfin/property sources; exact row source not individually re-opened</x:v>
      </x:c>
      <x:c r="N60" s="46" t="str">
        <x:v>https://www.redfin.com/real-estate-agents/gurmeet-singh</x:v>
      </x:c>
      <x:c r="O60" s="46" t="str">
        <x:v>Historical transaction recovered during deep search; verify against MLS before publishing as authoritative.</x:v>
      </x:c>
      <x:c r="P60" t="str">
        <x:v>Recovered</x:v>
      </x:c>
      <x:c r="Q60" t="str">
        <x:v>Unknown</x:v>
      </x:c>
      <x:c r="R60" s="70" t="str">
        <x:v>https://www.google.com/search?tbm=isch&amp;q=%2224623+Pontiac+St%22+Hayward+CA+house</x:v>
      </x:c>
    </x:row>
    <x:row r="61">
      <x:c r="A61" s="33" t="n">
        <x:v>60</x:v>
      </x:c>
      <x:c r="B61" s="33" t="str">
        <x:v>Sold / recovered</x:v>
      </x:c>
      <x:c r="C61" s="46" t="str">
        <x:v>1364 Maehl Dr</x:v>
      </x:c>
      <x:c r="D61" s="46" t="str">
        <x:v>Manteca</x:v>
      </x:c>
      <x:c r="E61" s="46" t="str">
        <x:v>CA</x:v>
      </x:c>
      <x:c r="F61" s="46" t="str"/>
      <x:c r="G61" s="47" t="n">
        <x:v>675000</x:v>
      </x:c>
      <x:c r="H61" s="48"/>
      <x:c r="I61" s="49" t="n">
        <x:v>4</x:v>
      </x:c>
      <x:c r="J61" s="50" t="n">
        <x:v>3</x:v>
      </x:c>
      <x:c r="K61" s="51" t="n">
        <x:v>2706</x:v>
      </x:c>
      <x:c r="L61" s="46" t="str">
        <x:v>Unknown</x:v>
      </x:c>
      <x:c r="M61" s="46" t="str">
        <x:v>Recovered from indexed Redfin/property sources; exact row source not individually re-opened</x:v>
      </x:c>
      <x:c r="N61" s="46" t="str">
        <x:v>https://www.redfin.com/real-estate-agents/gurmeet-singh</x:v>
      </x:c>
      <x:c r="O61" s="46" t="str">
        <x:v>Historical transaction recovered during deep search; verify against MLS before publishing as authoritative.</x:v>
      </x:c>
      <x:c r="P61" t="str">
        <x:v>Recovered</x:v>
      </x:c>
      <x:c r="Q61" t="str">
        <x:v>Unknown</x:v>
      </x:c>
      <x:c r="R61" s="70" t="str">
        <x:v>https://www.google.com/search?tbm=isch&amp;q=%221364+Maehl+Dr%22+Manteca+CA+house</x:v>
      </x:c>
    </x:row>
    <x:row r="62">
      <x:c r="A62" s="33" t="n">
        <x:v>61</x:v>
      </x:c>
      <x:c r="B62" s="33" t="str">
        <x:v>Sold / recovered</x:v>
      </x:c>
      <x:c r="C62" s="46" t="str">
        <x:v>7078 Wineberry Way</x:v>
      </x:c>
      <x:c r="D62" s="46" t="str">
        <x:v>Dublin</x:v>
      </x:c>
      <x:c r="E62" s="46" t="str">
        <x:v>CA</x:v>
      </x:c>
      <x:c r="F62" s="46" t="str"/>
      <x:c r="G62" s="47" t="n">
        <x:v>671000</x:v>
      </x:c>
      <x:c r="H62" s="48"/>
      <x:c r="I62" s="49" t="n">
        <x:v>4</x:v>
      </x:c>
      <x:c r="J62" s="50" t="n">
        <x:v>2</x:v>
      </x:c>
      <x:c r="K62" s="51" t="n">
        <x:v>1469</x:v>
      </x:c>
      <x:c r="L62" s="46" t="str">
        <x:v>Unknown</x:v>
      </x:c>
      <x:c r="M62" s="46" t="str">
        <x:v>Recovered from indexed Redfin/property sources; exact row source not individually re-opened</x:v>
      </x:c>
      <x:c r="N62" s="46" t="str">
        <x:v>https://www.redfin.com/real-estate-agents/gurmeet-singh</x:v>
      </x:c>
      <x:c r="O62" s="46" t="str">
        <x:v>Historical transaction recovered during deep search; verify against MLS before publishing as authoritative.</x:v>
      </x:c>
      <x:c r="P62" t="str">
        <x:v>Recovered</x:v>
      </x:c>
      <x:c r="Q62" t="str">
        <x:v>Unknown</x:v>
      </x:c>
      <x:c r="R62" s="70" t="str">
        <x:v>https://www.google.com/search?tbm=isch&amp;q=%227078+Wineberry+Way%22+Dublin+CA+house</x:v>
      </x:c>
    </x:row>
    <x:row r="63">
      <x:c r="A63" s="33" t="n">
        <x:v>62</x:v>
      </x:c>
      <x:c r="B63" s="33" t="str">
        <x:v>Sold / recovered</x:v>
      </x:c>
      <x:c r="C63" s="46" t="str">
        <x:v>10916 Monomoy Way</x:v>
      </x:c>
      <x:c r="D63" s="46" t="str">
        <x:v>Stockton</x:v>
      </x:c>
      <x:c r="E63" s="46" t="str">
        <x:v>CA</x:v>
      </x:c>
      <x:c r="F63" s="46" t="str"/>
      <x:c r="G63" s="47" t="n">
        <x:v>652000</x:v>
      </x:c>
      <x:c r="H63" s="48"/>
      <x:c r="I63" s="49" t="n">
        <x:v>5</x:v>
      </x:c>
      <x:c r="J63" s="50" t="n">
        <x:v>3</x:v>
      </x:c>
      <x:c r="K63" s="51" t="n">
        <x:v>2660</x:v>
      </x:c>
      <x:c r="L63" s="46" t="str">
        <x:v>Unknown</x:v>
      </x:c>
      <x:c r="M63" s="46" t="str">
        <x:v>Recovered from indexed Redfin/property sources; exact row source not individually re-opened</x:v>
      </x:c>
      <x:c r="N63" s="46" t="str">
        <x:v>https://www.redfin.com/real-estate-agents/gurmeet-singh</x:v>
      </x:c>
      <x:c r="O63" s="46" t="str">
        <x:v>Historical transaction recovered during deep search; verify against MLS before publishing as authoritative.</x:v>
      </x:c>
      <x:c r="P63" t="str">
        <x:v>Recovered</x:v>
      </x:c>
      <x:c r="Q63" t="str">
        <x:v>Unknown</x:v>
      </x:c>
      <x:c r="R63" s="70" t="str">
        <x:v>https://www.google.com/search?tbm=isch&amp;q=%2210916+Monomoy+Way%22+Stockton+CA+house</x:v>
      </x:c>
    </x:row>
    <x:row r="64">
      <x:c r="A64" s="33" t="n">
        <x:v>63</x:v>
      </x:c>
      <x:c r="B64" s="33" t="str">
        <x:v>Sold / recovered</x:v>
      </x:c>
      <x:c r="C64" s="46" t="str">
        <x:v>43 W Aventino Ave</x:v>
      </x:c>
      <x:c r="D64" s="46" t="str">
        <x:v>Mountain House</x:v>
      </x:c>
      <x:c r="E64" s="46" t="str">
        <x:v>CA</x:v>
      </x:c>
      <x:c r="F64" s="46" t="str"/>
      <x:c r="G64" s="47" t="n">
        <x:v>650000</x:v>
      </x:c>
      <x:c r="H64" s="48"/>
      <x:c r="I64" s="49" t="n">
        <x:v>3</x:v>
      </x:c>
      <x:c r="J64" s="50" t="n">
        <x:v>2.5</x:v>
      </x:c>
      <x:c r="K64" s="51" t="n">
        <x:v>1671</x:v>
      </x:c>
      <x:c r="L64" s="46" t="str">
        <x:v>Unknown</x:v>
      </x:c>
      <x:c r="M64" s="46" t="str">
        <x:v>Recovered from indexed Redfin/property sources; exact row source not individually re-opened</x:v>
      </x:c>
      <x:c r="N64" s="46" t="str">
        <x:v>https://www.redfin.com/real-estate-agents/gurmeet-singh</x:v>
      </x:c>
      <x:c r="O64" s="46" t="str">
        <x:v>Historical transaction recovered during deep search; verify against MLS before publishing as authoritative.</x:v>
      </x:c>
      <x:c r="P64" t="str">
        <x:v>Recovered</x:v>
      </x:c>
      <x:c r="Q64" t="str">
        <x:v>Unknown</x:v>
      </x:c>
      <x:c r="R64" s="70" t="str">
        <x:v>https://www.google.com/search?tbm=isch&amp;q=%2243+W+Aventino+Ave%22+Mountain+House+CA+house</x:v>
      </x:c>
    </x:row>
    <x:row r="65">
      <x:c r="A65" s="33" t="n">
        <x:v>64</x:v>
      </x:c>
      <x:c r="B65" s="33" t="str">
        <x:v>Sold / recovered</x:v>
      </x:c>
      <x:c r="C65" s="46" t="str">
        <x:v>5686 Greeley Pl</x:v>
      </x:c>
      <x:c r="D65" s="46" t="str">
        <x:v>Fremont</x:v>
      </x:c>
      <x:c r="E65" s="46" t="str">
        <x:v>CA</x:v>
      </x:c>
      <x:c r="F65" s="46" t="str"/>
      <x:c r="G65" s="47" t="n">
        <x:v>650000</x:v>
      </x:c>
      <x:c r="H65" s="48"/>
      <x:c r="I65" s="49" t="n">
        <x:v>4</x:v>
      </x:c>
      <x:c r="J65" s="50" t="n">
        <x:v>3.5</x:v>
      </x:c>
      <x:c r="K65" s="51" t="n">
        <x:v>1834</x:v>
      </x:c>
      <x:c r="L65" s="46" t="str">
        <x:v>Unknown</x:v>
      </x:c>
      <x:c r="M65" s="46" t="str">
        <x:v>Recovered from indexed Redfin/property sources; exact row source not individually re-opened</x:v>
      </x:c>
      <x:c r="N65" s="46" t="str">
        <x:v>https://www.redfin.com/real-estate-agents/gurmeet-singh</x:v>
      </x:c>
      <x:c r="O65" s="46" t="str">
        <x:v>Historical transaction recovered during deep search; verify against MLS before publishing as authoritative.</x:v>
      </x:c>
      <x:c r="P65" t="str">
        <x:v>Recovered</x:v>
      </x:c>
      <x:c r="Q65" t="str">
        <x:v>Unknown</x:v>
      </x:c>
      <x:c r="R65" s="70" t="str">
        <x:v>https://www.google.com/search?tbm=isch&amp;q=%225686+Greeley+Pl%22+Fremont+CA+house</x:v>
      </x:c>
    </x:row>
    <x:row r="66">
      <x:c r="A66" s="33" t="n">
        <x:v>65</x:v>
      </x:c>
      <x:c r="B66" s="33" t="str">
        <x:v>Sold / recovered</x:v>
      </x:c>
      <x:c r="C66" s="46" t="str">
        <x:v>4277 Polaris Ave</x:v>
      </x:c>
      <x:c r="D66" s="46" t="str">
        <x:v>Union City</x:v>
      </x:c>
      <x:c r="E66" s="46" t="str">
        <x:v>CA</x:v>
      </x:c>
      <x:c r="F66" s="46" t="str"/>
      <x:c r="G66" s="47" t="n">
        <x:v>630000</x:v>
      </x:c>
      <x:c r="H66" s="48"/>
      <x:c r="I66" s="49" t="n">
        <x:v>3</x:v>
      </x:c>
      <x:c r="J66" s="50" t="n">
        <x:v>1.5</x:v>
      </x:c>
      <x:c r="K66" s="51" t="n">
        <x:v>1280</x:v>
      </x:c>
      <x:c r="L66" s="46" t="str">
        <x:v>Unknown</x:v>
      </x:c>
      <x:c r="M66" s="46" t="str">
        <x:v>Recovered from indexed Redfin/property sources; exact row source not individually re-opened</x:v>
      </x:c>
      <x:c r="N66" s="46" t="str">
        <x:v>https://www.redfin.com/real-estate-agents/gurmeet-singh</x:v>
      </x:c>
      <x:c r="O66" s="46" t="str">
        <x:v>Historical transaction recovered during deep search; verify against MLS before publishing as authoritative.</x:v>
      </x:c>
      <x:c r="P66" t="str">
        <x:v>Recovered</x:v>
      </x:c>
      <x:c r="Q66" t="str">
        <x:v>Unknown</x:v>
      </x:c>
      <x:c r="R66" s="70" t="str">
        <x:v>https://www.google.com/search?tbm=isch&amp;q=%224277+Polaris+Ave%22+Union+City+CA+house</x:v>
      </x:c>
    </x:row>
    <x:row r="67">
      <x:c r="A67" s="33" t="n">
        <x:v>66</x:v>
      </x:c>
      <x:c r="B67" s="33" t="str">
        <x:v>Sold / recovered</x:v>
      </x:c>
      <x:c r="C67" s="46" t="str">
        <x:v>2660 Village Ct</x:v>
      </x:c>
      <x:c r="D67" s="46" t="str">
        <x:v>Union City</x:v>
      </x:c>
      <x:c r="E67" s="46" t="str">
        <x:v>CA</x:v>
      </x:c>
      <x:c r="F67" s="46" t="str"/>
      <x:c r="G67" s="47" t="n">
        <x:v>628000</x:v>
      </x:c>
      <x:c r="H67" s="48"/>
      <x:c r="I67" s="49" t="n">
        <x:v>3</x:v>
      </x:c>
      <x:c r="J67" s="50" t="n">
        <x:v>2.5</x:v>
      </x:c>
      <x:c r="K67" s="51" t="n">
        <x:v>1667</x:v>
      </x:c>
      <x:c r="L67" s="46" t="str">
        <x:v>Unknown</x:v>
      </x:c>
      <x:c r="M67" s="46" t="str">
        <x:v>Recovered from indexed Redfin/property sources; exact row source not individually re-opened</x:v>
      </x:c>
      <x:c r="N67" s="46" t="str">
        <x:v>https://www.redfin.com/real-estate-agents/gurmeet-singh</x:v>
      </x:c>
      <x:c r="O67" s="46" t="str">
        <x:v>Historical transaction recovered during deep search; verify against MLS before publishing as authoritative.</x:v>
      </x:c>
      <x:c r="P67" t="str">
        <x:v>Recovered</x:v>
      </x:c>
      <x:c r="Q67" t="str">
        <x:v>Unknown</x:v>
      </x:c>
      <x:c r="R67" s="70" t="str">
        <x:v>https://www.google.com/search?tbm=isch&amp;q=%222660+Village+Ct%22+Union+City+CA+house</x:v>
      </x:c>
    </x:row>
    <x:row r="68">
      <x:c r="A68" s="33" t="n">
        <x:v>67</x:v>
      </x:c>
      <x:c r="B68" s="33" t="str">
        <x:v>Sold / recovered</x:v>
      </x:c>
      <x:c r="C68" s="46" t="str">
        <x:v>10124 Downy Birch Dr</x:v>
      </x:c>
      <x:c r="D68" s="46" t="str">
        <x:v>Stockton</x:v>
      </x:c>
      <x:c r="E68" s="46" t="str">
        <x:v>CA</x:v>
      </x:c>
      <x:c r="F68" s="46" t="str"/>
      <x:c r="G68" s="47" t="n">
        <x:v>617000</x:v>
      </x:c>
      <x:c r="H68" s="48"/>
      <x:c r="I68" s="49" t="n">
        <x:v>5</x:v>
      </x:c>
      <x:c r="J68" s="50" t="n">
        <x:v>3</x:v>
      </x:c>
      <x:c r="K68" s="51" t="n">
        <x:v>2639</x:v>
      </x:c>
      <x:c r="L68" s="46" t="str">
        <x:v>Unknown</x:v>
      </x:c>
      <x:c r="M68" s="46" t="str">
        <x:v>Recovered from indexed Redfin/property sources; exact row source not individually re-opened</x:v>
      </x:c>
      <x:c r="N68" s="46" t="str">
        <x:v>https://www.redfin.com/real-estate-agents/gurmeet-singh</x:v>
      </x:c>
      <x:c r="O68" s="46" t="str">
        <x:v>Historical transaction recovered during deep search; verify against MLS before publishing as authoritative.</x:v>
      </x:c>
      <x:c r="P68" t="str">
        <x:v>Recovered</x:v>
      </x:c>
      <x:c r="Q68" t="str">
        <x:v>Unknown</x:v>
      </x:c>
      <x:c r="R68" s="70" t="str">
        <x:v>https://www.google.com/search?tbm=isch&amp;q=%2210124+Downy+Birch+Dr%22+Stockton+CA+house</x:v>
      </x:c>
    </x:row>
    <x:row r="69">
      <x:c r="A69" s="33" t="n">
        <x:v>68</x:v>
      </x:c>
      <x:c r="B69" s="33" t="str">
        <x:v>Sold / recovered</x:v>
      </x:c>
      <x:c r="C69" s="46" t="str">
        <x:v>4427 Callecita Ct</x:v>
      </x:c>
      <x:c r="D69" s="46" t="str">
        <x:v>Union City</x:v>
      </x:c>
      <x:c r="E69" s="46" t="str">
        <x:v>CA</x:v>
      </x:c>
      <x:c r="F69" s="46" t="str"/>
      <x:c r="G69" s="47" t="n">
        <x:v>600000</x:v>
      </x:c>
      <x:c r="H69" s="48"/>
      <x:c r="I69" s="49" t="n">
        <x:v>2</x:v>
      </x:c>
      <x:c r="J69" s="50" t="n">
        <x:v>1</x:v>
      </x:c>
      <x:c r="K69" s="51" t="n">
        <x:v>875</x:v>
      </x:c>
      <x:c r="L69" s="46" t="str">
        <x:v>Unknown</x:v>
      </x:c>
      <x:c r="M69" s="46" t="str">
        <x:v>Recovered from indexed Redfin/property sources; exact row source not individually re-opened</x:v>
      </x:c>
      <x:c r="N69" s="46" t="str">
        <x:v>https://www.redfin.com/real-estate-agents/gurmeet-singh</x:v>
      </x:c>
      <x:c r="O69" s="46" t="str">
        <x:v>Historical transaction recovered during deep search; verify against MLS before publishing as authoritative.</x:v>
      </x:c>
      <x:c r="P69" t="str">
        <x:v>Recovered</x:v>
      </x:c>
      <x:c r="Q69" t="str">
        <x:v>Unknown</x:v>
      </x:c>
      <x:c r="R69" s="70" t="str">
        <x:v>https://www.google.com/search?tbm=isch&amp;q=%224427+Callecita+Ct%22+Union+City+CA+house</x:v>
      </x:c>
    </x:row>
    <x:row r="70">
      <x:c r="A70" s="33" t="n">
        <x:v>69</x:v>
      </x:c>
      <x:c r="B70" s="33" t="str">
        <x:v>Sold</x:v>
      </x:c>
      <x:c r="C70" s="46" t="str">
        <x:v>1865 Newport Ct</x:v>
      </x:c>
      <x:c r="D70" s="46" t="str">
        <x:v>Tracy</x:v>
      </x:c>
      <x:c r="E70" s="46" t="str">
        <x:v>CA</x:v>
      </x:c>
      <x:c r="F70" s="46" t="str">
        <x:v>95376</x:v>
      </x:c>
      <x:c r="G70" s="47" t="n">
        <x:v>580000</x:v>
      </x:c>
      <x:c r="H70" s="48"/>
      <x:c r="I70" s="49" t="n">
        <x:v>4</x:v>
      </x:c>
      <x:c r="J70" s="50" t="n">
        <x:v>3</x:v>
      </x:c>
      <x:c r="K70" s="51" t="n">
        <x:v>2373</x:v>
      </x:c>
      <x:c r="L70" s="46" t="str">
        <x:v>Buyer</x:v>
      </x:c>
      <x:c r="M70" s="46" t="str">
        <x:v>High - Zillow recent sales</x:v>
      </x:c>
      <x:c r="N70" s="46" t="str">
        <x:v>https://www.zillow.com/profile/Gurmeet%20Singh</x:v>
      </x:c>
      <x:c r="O70" s="46" t="str">
        <x:v>Zillow shows sold about 6 months before 2026-08-15.</x:v>
      </x:c>
      <x:c r="P70" t="str">
        <x:v>High</x:v>
      </x:c>
      <x:c r="Q70" t="str">
        <x:v>Buyer</x:v>
      </x:c>
      <x:c r="R70" s="70" t="str">
        <x:v>https://www.google.com/search?tbm=isch&amp;q=%221865+Newport+Ct%22+Tracy+CA+95376+house</x:v>
      </x:c>
    </x:row>
    <x:row r="71">
      <x:c r="A71" s="33" t="n">
        <x:v>70</x:v>
      </x:c>
      <x:c r="B71" s="33" t="str">
        <x:v>Sold / recovered</x:v>
      </x:c>
      <x:c r="C71" s="46" t="str">
        <x:v>25181 Copa Del Oro Dr #128</x:v>
      </x:c>
      <x:c r="D71" s="46" t="str">
        <x:v>Hayward</x:v>
      </x:c>
      <x:c r="E71" s="46" t="str">
        <x:v>CA</x:v>
      </x:c>
      <x:c r="F71" s="46" t="str"/>
      <x:c r="G71" s="47" t="n">
        <x:v>579000</x:v>
      </x:c>
      <x:c r="H71" s="48"/>
      <x:c r="I71" s="49" t="n">
        <x:v>2</x:v>
      </x:c>
      <x:c r="J71" s="50" t="n">
        <x:v>2</x:v>
      </x:c>
      <x:c r="K71" s="51" t="n">
        <x:v>865</x:v>
      </x:c>
      <x:c r="L71" s="46" t="str">
        <x:v>Unknown</x:v>
      </x:c>
      <x:c r="M71" s="46" t="str">
        <x:v>Recovered from indexed Redfin/property sources; exact row source not individually re-opened</x:v>
      </x:c>
      <x:c r="N71" s="46" t="str">
        <x:v>https://www.redfin.com/real-estate-agents/gurmeet-singh</x:v>
      </x:c>
      <x:c r="O71" s="46" t="str">
        <x:v>Historical transaction recovered during deep search; verify against MLS before publishing as authoritative.</x:v>
      </x:c>
      <x:c r="P71" t="str">
        <x:v>Recovered</x:v>
      </x:c>
      <x:c r="Q71" t="str">
        <x:v>Unknown</x:v>
      </x:c>
      <x:c r="R71" s="70" t="str">
        <x:v>https://www.google.com/search?tbm=isch&amp;q=%2225181+Copa+Del+Oro+Dr+%23128%22+Hayward+CA+house</x:v>
      </x:c>
    </x:row>
    <x:row r="72">
      <x:c r="A72" s="33" t="n">
        <x:v>71</x:v>
      </x:c>
      <x:c r="B72" s="33" t="str">
        <x:v>Sold / recovered</x:v>
      </x:c>
      <x:c r="C72" s="46" t="str">
        <x:v>6411 Oscar Cir</x:v>
      </x:c>
      <x:c r="D72" s="46" t="str">
        <x:v>Elk Grove</x:v>
      </x:c>
      <x:c r="E72" s="46" t="str">
        <x:v>CA</x:v>
      </x:c>
      <x:c r="F72" s="46" t="str"/>
      <x:c r="G72" s="47" t="n">
        <x:v>579000</x:v>
      </x:c>
      <x:c r="H72" s="48"/>
      <x:c r="I72" s="49" t="n">
        <x:v>4</x:v>
      </x:c>
      <x:c r="J72" s="50" t="n">
        <x:v>3</x:v>
      </x:c>
      <x:c r="K72" s="51" t="n">
        <x:v>2359</x:v>
      </x:c>
      <x:c r="L72" s="46" t="str">
        <x:v>Unknown</x:v>
      </x:c>
      <x:c r="M72" s="46" t="str">
        <x:v>Recovered from indexed Redfin/property sources; exact row source not individually re-opened</x:v>
      </x:c>
      <x:c r="N72" s="46" t="str">
        <x:v>https://www.redfin.com/real-estate-agents/gurmeet-singh</x:v>
      </x:c>
      <x:c r="O72" s="46" t="str">
        <x:v>Historical transaction recovered during deep search; verify against MLS before publishing as authoritative.</x:v>
      </x:c>
      <x:c r="P72" t="str">
        <x:v>Recovered</x:v>
      </x:c>
      <x:c r="Q72" t="str">
        <x:v>Unknown</x:v>
      </x:c>
      <x:c r="R72" s="70" t="str">
        <x:v>https://www.google.com/search?tbm=isch&amp;q=%226411+Oscar+Cir%22+Elk+Grove+CA+house</x:v>
      </x:c>
    </x:row>
    <x:row r="73">
      <x:c r="A73" s="33" t="n">
        <x:v>72</x:v>
      </x:c>
      <x:c r="B73" s="33" t="str">
        <x:v>Sold / recovered</x:v>
      </x:c>
      <x:c r="C73" s="46" t="str">
        <x:v>414 Millbrook Ct</x:v>
      </x:c>
      <x:c r="D73" s="46" t="str">
        <x:v>Lincoln</x:v>
      </x:c>
      <x:c r="E73" s="46" t="str">
        <x:v>CA</x:v>
      </x:c>
      <x:c r="F73" s="46" t="str"/>
      <x:c r="G73" s="47" t="n">
        <x:v>566000</x:v>
      </x:c>
      <x:c r="H73" s="48"/>
      <x:c r="I73" s="49" t="n">
        <x:v>5</x:v>
      </x:c>
      <x:c r="J73" s="50" t="n">
        <x:v>4</x:v>
      </x:c>
      <x:c r="K73" s="51" t="n">
        <x:v>3407</x:v>
      </x:c>
      <x:c r="L73" s="46" t="str">
        <x:v>Unknown</x:v>
      </x:c>
      <x:c r="M73" s="46" t="str">
        <x:v>Recovered from indexed Redfin/property sources; exact row source not individually re-opened</x:v>
      </x:c>
      <x:c r="N73" s="46" t="str">
        <x:v>https://www.redfin.com/real-estate-agents/gurmeet-singh</x:v>
      </x:c>
      <x:c r="O73" s="46" t="str">
        <x:v>Historical transaction recovered during deep search; verify against MLS before publishing as authoritative.</x:v>
      </x:c>
      <x:c r="P73" t="str">
        <x:v>Recovered</x:v>
      </x:c>
      <x:c r="Q73" t="str">
        <x:v>Unknown</x:v>
      </x:c>
      <x:c r="R73" s="70" t="str">
        <x:v>https://www.google.com/search?tbm=isch&amp;q=%22414+Millbrook+Ct%22+Lincoln+CA+house</x:v>
      </x:c>
    </x:row>
    <x:row r="74">
      <x:c r="A74" s="33" t="n">
        <x:v>73</x:v>
      </x:c>
      <x:c r="B74" s="33" t="str">
        <x:v>Sold / recovered</x:v>
      </x:c>
      <x:c r="C74" s="46" t="str">
        <x:v>1966 Inderbitzin Way</x:v>
      </x:c>
      <x:c r="D74" s="46" t="str">
        <x:v>Manteca</x:v>
      </x:c>
      <x:c r="E74" s="46" t="str">
        <x:v>CA</x:v>
      </x:c>
      <x:c r="F74" s="46" t="str"/>
      <x:c r="G74" s="47" t="n">
        <x:v>565000</x:v>
      </x:c>
      <x:c r="H74" s="48"/>
      <x:c r="I74" s="49" t="n">
        <x:v>5</x:v>
      </x:c>
      <x:c r="J74" s="50" t="n">
        <x:v>3</x:v>
      </x:c>
      <x:c r="K74" s="51" t="n">
        <x:v>3305</x:v>
      </x:c>
      <x:c r="L74" s="46" t="str">
        <x:v>Unknown</x:v>
      </x:c>
      <x:c r="M74" s="46" t="str">
        <x:v>Recovered from indexed Redfin/property sources; exact row source not individually re-opened</x:v>
      </x:c>
      <x:c r="N74" s="46" t="str">
        <x:v>https://www.redfin.com/real-estate-agents/gurmeet-singh</x:v>
      </x:c>
      <x:c r="O74" s="46" t="str">
        <x:v>Historical transaction recovered during deep search; verify against MLS before publishing as authoritative.</x:v>
      </x:c>
      <x:c r="P74" t="str">
        <x:v>Recovered</x:v>
      </x:c>
      <x:c r="Q74" t="str">
        <x:v>Unknown</x:v>
      </x:c>
      <x:c r="R74" s="70" t="str">
        <x:v>https://www.google.com/search?tbm=isch&amp;q=%221966+Inderbitzin+Way%22+Manteca+CA+house</x:v>
      </x:c>
    </x:row>
    <x:row r="75">
      <x:c r="A75" s="33" t="n">
        <x:v>74</x:v>
      </x:c>
      <x:c r="B75" s="33" t="str">
        <x:v>Sold / recovered</x:v>
      </x:c>
      <x:c r="C75" s="46" t="str">
        <x:v>125 W Aventino Ave</x:v>
      </x:c>
      <x:c r="D75" s="46" t="str">
        <x:v>Mountain House</x:v>
      </x:c>
      <x:c r="E75" s="46" t="str">
        <x:v>CA</x:v>
      </x:c>
      <x:c r="F75" s="46" t="str"/>
      <x:c r="G75" s="47" t="n">
        <x:v>560000</x:v>
      </x:c>
      <x:c r="H75" s="48"/>
      <x:c r="I75" s="49" t="n">
        <x:v>4</x:v>
      </x:c>
      <x:c r="J75" s="50" t="n">
        <x:v>3</x:v>
      </x:c>
      <x:c r="K75" s="51" t="n">
        <x:v>2356</x:v>
      </x:c>
      <x:c r="L75" s="46" t="str">
        <x:v>Unknown</x:v>
      </x:c>
      <x:c r="M75" s="46" t="str">
        <x:v>Recovered from indexed Redfin/property sources; exact row source not individually re-opened</x:v>
      </x:c>
      <x:c r="N75" s="46" t="str">
        <x:v>https://www.redfin.com/real-estate-agents/gurmeet-singh</x:v>
      </x:c>
      <x:c r="O75" s="46" t="str">
        <x:v>Historical transaction recovered during deep search; verify against MLS before publishing as authoritative.</x:v>
      </x:c>
      <x:c r="P75" t="str">
        <x:v>Recovered</x:v>
      </x:c>
      <x:c r="Q75" t="str">
        <x:v>Unknown</x:v>
      </x:c>
      <x:c r="R75" s="70" t="str">
        <x:v>https://www.google.com/search?tbm=isch&amp;q=%22125+W+Aventino+Ave%22+Mountain+House+CA+house</x:v>
      </x:c>
    </x:row>
    <x:row r="76">
      <x:c r="A76" s="33" t="n">
        <x:v>75</x:v>
      </x:c>
      <x:c r="B76" s="33" t="str">
        <x:v>Sold / recovered</x:v>
      </x:c>
      <x:c r="C76" s="46" t="str">
        <x:v>2805 Black Mountain Way</x:v>
      </x:c>
      <x:c r="D76" s="46" t="str">
        <x:v>Modesto</x:v>
      </x:c>
      <x:c r="E76" s="46" t="str">
        <x:v>CA</x:v>
      </x:c>
      <x:c r="F76" s="46" t="str"/>
      <x:c r="G76" s="47" t="n">
        <x:v>551000</x:v>
      </x:c>
      <x:c r="H76" s="48"/>
      <x:c r="I76" s="49" t="n">
        <x:v>4</x:v>
      </x:c>
      <x:c r="J76" s="50" t="n">
        <x:v>3</x:v>
      </x:c>
      <x:c r="K76" s="51" t="n">
        <x:v>3650</x:v>
      </x:c>
      <x:c r="L76" s="46" t="str">
        <x:v>Unknown</x:v>
      </x:c>
      <x:c r="M76" s="46" t="str">
        <x:v>Recovered from indexed Redfin/property sources; exact row source not individually re-opened</x:v>
      </x:c>
      <x:c r="N76" s="46" t="str">
        <x:v>https://www.redfin.com/real-estate-agents/gurmeet-singh</x:v>
      </x:c>
      <x:c r="O76" s="46" t="str">
        <x:v>Historical transaction recovered during deep search; verify against MLS before publishing as authoritative.</x:v>
      </x:c>
      <x:c r="P76" t="str">
        <x:v>Recovered</x:v>
      </x:c>
      <x:c r="Q76" t="str">
        <x:v>Unknown</x:v>
      </x:c>
      <x:c r="R76" s="70" t="str">
        <x:v>https://www.google.com/search?tbm=isch&amp;q=%222805+Black+Mountain+Way%22+Modesto+CA+house</x:v>
      </x:c>
    </x:row>
    <x:row r="77">
      <x:c r="A77" s="33" t="n">
        <x:v>76</x:v>
      </x:c>
      <x:c r="B77" s="33" t="str">
        <x:v>Sold / recovered</x:v>
      </x:c>
      <x:c r="C77" s="46" t="str">
        <x:v>4312 Torres Ave</x:v>
      </x:c>
      <x:c r="D77" s="46" t="str">
        <x:v>Fremont</x:v>
      </x:c>
      <x:c r="E77" s="46" t="str">
        <x:v>CA</x:v>
      </x:c>
      <x:c r="F77" s="46" t="str"/>
      <x:c r="G77" s="47" t="n">
        <x:v>551000</x:v>
      </x:c>
      <x:c r="H77" s="48"/>
      <x:c r="I77" s="49" t="n">
        <x:v>3</x:v>
      </x:c>
      <x:c r="J77" s="50" t="n">
        <x:v>2</x:v>
      </x:c>
      <x:c r="K77" s="51" t="n">
        <x:v>1581</x:v>
      </x:c>
      <x:c r="L77" s="46" t="str">
        <x:v>Unknown</x:v>
      </x:c>
      <x:c r="M77" s="46" t="str">
        <x:v>Recovered from indexed Redfin/property sources; exact row source not individually re-opened</x:v>
      </x:c>
      <x:c r="N77" s="46" t="str">
        <x:v>https://www.redfin.com/real-estate-agents/gurmeet-singh</x:v>
      </x:c>
      <x:c r="O77" s="46" t="str">
        <x:v>Historical transaction recovered during deep search; verify against MLS before publishing as authoritative.</x:v>
      </x:c>
      <x:c r="P77" t="str">
        <x:v>Recovered</x:v>
      </x:c>
      <x:c r="Q77" t="str">
        <x:v>Unknown</x:v>
      </x:c>
      <x:c r="R77" s="70" t="str">
        <x:v>https://www.google.com/search?tbm=isch&amp;q=%224312+Torres+Ave%22+Fremont+CA+house</x:v>
      </x:c>
    </x:row>
    <x:row r="78">
      <x:c r="A78" s="33" t="n">
        <x:v>77</x:v>
      </x:c>
      <x:c r="B78" s="33" t="str">
        <x:v>Sold / recovered</x:v>
      </x:c>
      <x:c r="C78" s="46" t="str">
        <x:v>4727 Palos Way</x:v>
      </x:c>
      <x:c r="D78" s="46" t="str">
        <x:v>Union City</x:v>
      </x:c>
      <x:c r="E78" s="46" t="str">
        <x:v>CA</x:v>
      </x:c>
      <x:c r="F78" s="46" t="str"/>
      <x:c r="G78" s="47" t="n">
        <x:v>535000</x:v>
      </x:c>
      <x:c r="H78" s="48"/>
      <x:c r="I78" s="49" t="n">
        <x:v>3</x:v>
      </x:c>
      <x:c r="J78" s="50" t="n">
        <x:v>1.5</x:v>
      </x:c>
      <x:c r="K78" s="51" t="n">
        <x:v>1298</x:v>
      </x:c>
      <x:c r="L78" s="46" t="str">
        <x:v>Unknown</x:v>
      </x:c>
      <x:c r="M78" s="46" t="str">
        <x:v>Recovered from indexed Redfin/property sources; exact row source not individually re-opened</x:v>
      </x:c>
      <x:c r="N78" s="46" t="str">
        <x:v>https://www.redfin.com/real-estate-agents/gurmeet-singh</x:v>
      </x:c>
      <x:c r="O78" s="46" t="str">
        <x:v>Historical transaction recovered during deep search; verify against MLS before publishing as authoritative.</x:v>
      </x:c>
      <x:c r="P78" t="str">
        <x:v>Recovered</x:v>
      </x:c>
      <x:c r="Q78" t="str">
        <x:v>Unknown</x:v>
      </x:c>
      <x:c r="R78" s="70" t="str">
        <x:v>https://www.google.com/search?tbm=isch&amp;q=%224727+Palos+Way%22+Union+City+CA+house</x:v>
      </x:c>
    </x:row>
    <x:row r="79">
      <x:c r="A79" s="33" t="n">
        <x:v>78</x:v>
      </x:c>
      <x:c r="B79" s="33" t="str">
        <x:v>Sold / recovered</x:v>
      </x:c>
      <x:c r="C79" s="46" t="str">
        <x:v>27603 Del Norte Ct</x:v>
      </x:c>
      <x:c r="D79" s="46" t="str">
        <x:v>Hayward</x:v>
      </x:c>
      <x:c r="E79" s="46" t="str">
        <x:v>CA</x:v>
      </x:c>
      <x:c r="F79" s="46" t="str"/>
      <x:c r="G79" s="47" t="n">
        <x:v>532500</x:v>
      </x:c>
      <x:c r="H79" s="48"/>
      <x:c r="I79" s="49" t="n">
        <x:v>2</x:v>
      </x:c>
      <x:c r="J79" s="50" t="n">
        <x:v>1.5</x:v>
      </x:c>
      <x:c r="K79" s="51" t="n">
        <x:v>988</x:v>
      </x:c>
      <x:c r="L79" s="46" t="str">
        <x:v>Unknown</x:v>
      </x:c>
      <x:c r="M79" s="46" t="str">
        <x:v>Recovered from indexed Redfin/property sources; exact row source not individually re-opened</x:v>
      </x:c>
      <x:c r="N79" s="46" t="str">
        <x:v>https://www.redfin.com/real-estate-agents/gurmeet-singh</x:v>
      </x:c>
      <x:c r="O79" s="46" t="str">
        <x:v>Historical transaction recovered during deep search; verify against MLS before publishing as authoritative.</x:v>
      </x:c>
      <x:c r="P79" t="str">
        <x:v>Recovered</x:v>
      </x:c>
      <x:c r="Q79" t="str">
        <x:v>Unknown</x:v>
      </x:c>
      <x:c r="R79" s="70" t="str">
        <x:v>https://www.google.com/search?tbm=isch&amp;q=%2227603+Del+Norte+Ct%22+Hayward+CA+house</x:v>
      </x:c>
    </x:row>
    <x:row r="80">
      <x:c r="A80" s="33" t="n">
        <x:v>79</x:v>
      </x:c>
      <x:c r="B80" s="33" t="str">
        <x:v>Sold / recovered</x:v>
      </x:c>
      <x:c r="C80" s="46" t="str">
        <x:v>2121 Cabana Ln</x:v>
      </x:c>
      <x:c r="D80" s="46" t="str">
        <x:v>Tracy</x:v>
      </x:c>
      <x:c r="E80" s="46" t="str">
        <x:v>CA</x:v>
      </x:c>
      <x:c r="F80" s="46" t="str"/>
      <x:c r="G80" s="47" t="n">
        <x:v>532000</x:v>
      </x:c>
      <x:c r="H80" s="48"/>
      <x:c r="I80" s="49" t="n">
        <x:v>4</x:v>
      </x:c>
      <x:c r="J80" s="50" t="n">
        <x:v>3</x:v>
      </x:c>
      <x:c r="K80" s="51" t="n">
        <x:v>2396</x:v>
      </x:c>
      <x:c r="L80" s="46" t="str">
        <x:v>Unknown</x:v>
      </x:c>
      <x:c r="M80" s="46" t="str">
        <x:v>Recovered from indexed Redfin/property sources; exact row source not individually re-opened</x:v>
      </x:c>
      <x:c r="N80" s="46" t="str">
        <x:v>https://www.redfin.com/real-estate-agents/gurmeet-singh</x:v>
      </x:c>
      <x:c r="O80" s="46" t="str">
        <x:v>Historical transaction recovered during deep search; verify against MLS before publishing as authoritative.</x:v>
      </x:c>
      <x:c r="P80" t="str">
        <x:v>Recovered</x:v>
      </x:c>
      <x:c r="Q80" t="str">
        <x:v>Unknown</x:v>
      </x:c>
      <x:c r="R80" s="70" t="str">
        <x:v>https://www.google.com/search?tbm=isch&amp;q=%222121+Cabana+Ln%22+Tracy+CA+house</x:v>
      </x:c>
    </x:row>
    <x:row r="81">
      <x:c r="A81" s="33" t="n">
        <x:v>80</x:v>
      </x:c>
      <x:c r="B81" s="33" t="str">
        <x:v>Sold / recovered</x:v>
      </x:c>
      <x:c r="C81" s="46" t="str">
        <x:v>39993 Fremont Blvd #111</x:v>
      </x:c>
      <x:c r="D81" s="46" t="str">
        <x:v>Fremont</x:v>
      </x:c>
      <x:c r="E81" s="46" t="str">
        <x:v>CA</x:v>
      </x:c>
      <x:c r="F81" s="46" t="str"/>
      <x:c r="G81" s="47" t="n">
        <x:v>530200</x:v>
      </x:c>
      <x:c r="H81" s="48"/>
      <x:c r="I81" s="49" t="n">
        <x:v>2</x:v>
      </x:c>
      <x:c r="J81" s="50" t="n">
        <x:v>2</x:v>
      </x:c>
      <x:c r="K81" s="51" t="n">
        <x:v>1146</x:v>
      </x:c>
      <x:c r="L81" s="46" t="str">
        <x:v>Unknown</x:v>
      </x:c>
      <x:c r="M81" s="46" t="str">
        <x:v>Recovered from indexed Redfin/property sources; exact row source not individually re-opened</x:v>
      </x:c>
      <x:c r="N81" s="46" t="str">
        <x:v>https://www.redfin.com/real-estate-agents/gurmeet-singh</x:v>
      </x:c>
      <x:c r="O81" s="46" t="str">
        <x:v>Historical transaction recovered during deep search; verify against MLS before publishing as authoritative.</x:v>
      </x:c>
      <x:c r="P81" t="str">
        <x:v>Recovered</x:v>
      </x:c>
      <x:c r="Q81" t="str">
        <x:v>Unknown</x:v>
      </x:c>
      <x:c r="R81" s="70" t="str">
        <x:v>https://www.google.com/search?tbm=isch&amp;q=%2239993+Fremont+Blvd+%23111%22+Fremont+CA+house</x:v>
      </x:c>
    </x:row>
    <x:row r="82">
      <x:c r="A82" s="33" t="n">
        <x:v>81</x:v>
      </x:c>
      <x:c r="B82" s="33" t="str">
        <x:v>Sold / recovered</x:v>
      </x:c>
      <x:c r="C82" s="46" t="str">
        <x:v>474 Grove Way</x:v>
      </x:c>
      <x:c r="D82" s="46" t="str">
        <x:v>Cherryland</x:v>
      </x:c>
      <x:c r="E82" s="46" t="str">
        <x:v>CA</x:v>
      </x:c>
      <x:c r="F82" s="46" t="str"/>
      <x:c r="G82" s="47" t="n">
        <x:v>530000</x:v>
      </x:c>
      <x:c r="H82" s="48"/>
      <x:c r="I82" s="49" t="n">
        <x:v>2</x:v>
      </x:c>
      <x:c r="J82" s="50" t="n">
        <x:v>1</x:v>
      </x:c>
      <x:c r="K82" s="51" t="n">
        <x:v>756</x:v>
      </x:c>
      <x:c r="L82" s="46" t="str">
        <x:v>Unknown</x:v>
      </x:c>
      <x:c r="M82" s="46" t="str">
        <x:v>Recovered from indexed Redfin/property sources; exact row source not individually re-opened</x:v>
      </x:c>
      <x:c r="N82" s="46" t="str">
        <x:v>https://www.redfin.com/real-estate-agents/gurmeet-singh</x:v>
      </x:c>
      <x:c r="O82" s="46" t="str">
        <x:v>Historical transaction recovered during deep search; verify against MLS before publishing as authoritative.</x:v>
      </x:c>
      <x:c r="P82" t="str">
        <x:v>Recovered</x:v>
      </x:c>
      <x:c r="Q82" t="str">
        <x:v>Unknown</x:v>
      </x:c>
      <x:c r="R82" s="70" t="str">
        <x:v>https://www.google.com/search?tbm=isch&amp;q=%22474+Grove+Way%22+Cherryland+CA+house</x:v>
      </x:c>
    </x:row>
    <x:row r="83">
      <x:c r="A83" s="33" t="n">
        <x:v>82</x:v>
      </x:c>
      <x:c r="B83" s="33" t="str">
        <x:v>Sold / recovered</x:v>
      </x:c>
      <x:c r="C83" s="46" t="str">
        <x:v>1881 Kern St</x:v>
      </x:c>
      <x:c r="D83" s="46" t="str">
        <x:v>Tracy</x:v>
      </x:c>
      <x:c r="E83" s="46" t="str">
        <x:v>CA</x:v>
      </x:c>
      <x:c r="F83" s="46" t="str"/>
      <x:c r="G83" s="47" t="n">
        <x:v>526000</x:v>
      </x:c>
      <x:c r="H83" s="48"/>
      <x:c r="I83" s="49" t="n">
        <x:v>4</x:v>
      </x:c>
      <x:c r="J83" s="50" t="n">
        <x:v>3</x:v>
      </x:c>
      <x:c r="K83" s="51" t="n">
        <x:v>2582</x:v>
      </x:c>
      <x:c r="L83" s="46" t="str">
        <x:v>Unknown</x:v>
      </x:c>
      <x:c r="M83" s="46" t="str">
        <x:v>Recovered from indexed Redfin/property sources; exact row source not individually re-opened</x:v>
      </x:c>
      <x:c r="N83" s="46" t="str">
        <x:v>https://www.redfin.com/real-estate-agents/gurmeet-singh</x:v>
      </x:c>
      <x:c r="O83" s="46" t="str">
        <x:v>Historical transaction recovered during deep search; verify against MLS before publishing as authoritative.</x:v>
      </x:c>
      <x:c r="P83" t="str">
        <x:v>Recovered</x:v>
      </x:c>
      <x:c r="Q83" t="str">
        <x:v>Unknown</x:v>
      </x:c>
      <x:c r="R83" s="70" t="str">
        <x:v>https://www.google.com/search?tbm=isch&amp;q=%221881+Kern+St%22+Tracy+CA+house</x:v>
      </x:c>
    </x:row>
    <x:row r="84">
      <x:c r="A84" s="33" t="n">
        <x:v>83</x:v>
      </x:c>
      <x:c r="B84" s="33" t="str">
        <x:v>Sold / recovered</x:v>
      </x:c>
      <x:c r="C84" s="46" t="str">
        <x:v>37200 Meadowbrook Cmn #103</x:v>
      </x:c>
      <x:c r="D84" s="46" t="str">
        <x:v>Fremont</x:v>
      </x:c>
      <x:c r="E84" s="46" t="str">
        <x:v>CA</x:v>
      </x:c>
      <x:c r="F84" s="46" t="str"/>
      <x:c r="G84" s="47" t="n">
        <x:v>525000</x:v>
      </x:c>
      <x:c r="H84" s="48"/>
      <x:c r="I84" s="49" t="n">
        <x:v>2</x:v>
      </x:c>
      <x:c r="J84" s="50" t="n">
        <x:v>2</x:v>
      </x:c>
      <x:c r="K84" s="51" t="n">
        <x:v>962</x:v>
      </x:c>
      <x:c r="L84" s="46" t="str">
        <x:v>Unknown</x:v>
      </x:c>
      <x:c r="M84" s="46" t="str">
        <x:v>Recovered from indexed Redfin/property sources; exact row source not individually re-opened</x:v>
      </x:c>
      <x:c r="N84" s="46" t="str">
        <x:v>https://www.redfin.com/real-estate-agents/gurmeet-singh</x:v>
      </x:c>
      <x:c r="O84" s="46" t="str">
        <x:v>Historical transaction recovered during deep search; verify against MLS before publishing as authoritative.</x:v>
      </x:c>
      <x:c r="P84" t="str">
        <x:v>Recovered</x:v>
      </x:c>
      <x:c r="Q84" t="str">
        <x:v>Unknown</x:v>
      </x:c>
      <x:c r="R84" s="70" t="str">
        <x:v>https://www.google.com/search?tbm=isch&amp;q=%2237200+Meadowbrook+Cmn+%23103%22+Fremont+CA+house</x:v>
      </x:c>
    </x:row>
    <x:row r="85">
      <x:c r="A85" s="33" t="n">
        <x:v>84</x:v>
      </x:c>
      <x:c r="B85" s="33" t="str">
        <x:v>Sold / recovered</x:v>
      </x:c>
      <x:c r="C85" s="46" t="str">
        <x:v>32209 Minturn Ct</x:v>
      </x:c>
      <x:c r="D85" s="46" t="str">
        <x:v>Union City</x:v>
      </x:c>
      <x:c r="E85" s="46" t="str">
        <x:v>CA</x:v>
      </x:c>
      <x:c r="F85" s="46" t="str"/>
      <x:c r="G85" s="47" t="n">
        <x:v>514500</x:v>
      </x:c>
      <x:c r="H85" s="48"/>
      <x:c r="I85" s="49" t="n">
        <x:v>4</x:v>
      </x:c>
      <x:c r="J85" s="50" t="n">
        <x:v>2</x:v>
      </x:c>
      <x:c r="K85" s="51" t="n">
        <x:v>1708</x:v>
      </x:c>
      <x:c r="L85" s="46" t="str">
        <x:v>Unknown</x:v>
      </x:c>
      <x:c r="M85" s="46" t="str">
        <x:v>Recovered from indexed Redfin/property sources; exact row source not individually re-opened</x:v>
      </x:c>
      <x:c r="N85" s="46" t="str">
        <x:v>https://www.redfin.com/real-estate-agents/gurmeet-singh</x:v>
      </x:c>
      <x:c r="O85" s="46" t="str">
        <x:v>Historical transaction recovered during deep search; verify against MLS before publishing as authoritative.</x:v>
      </x:c>
      <x:c r="P85" t="str">
        <x:v>Recovered</x:v>
      </x:c>
      <x:c r="Q85" t="str">
        <x:v>Unknown</x:v>
      </x:c>
      <x:c r="R85" s="70" t="str">
        <x:v>https://www.google.com/search?tbm=isch&amp;q=%2232209+Minturn+Ct%22+Union+City+CA+house</x:v>
      </x:c>
    </x:row>
    <x:row r="86">
      <x:c r="A86" s="33" t="n">
        <x:v>85</x:v>
      </x:c>
      <x:c r="B86" s="33" t="str">
        <x:v>Sold / recovered</x:v>
      </x:c>
      <x:c r="C86" s="46" t="str">
        <x:v>478 Ribier Ct</x:v>
      </x:c>
      <x:c r="D86" s="46" t="str">
        <x:v>Manteca</x:v>
      </x:c>
      <x:c r="E86" s="46" t="str">
        <x:v>CA</x:v>
      </x:c>
      <x:c r="F86" s="46" t="str"/>
      <x:c r="G86" s="47" t="n">
        <x:v>511500</x:v>
      </x:c>
      <x:c r="H86" s="48"/>
      <x:c r="I86" s="49" t="n">
        <x:v>4</x:v>
      </x:c>
      <x:c r="J86" s="50" t="n">
        <x:v>2</x:v>
      </x:c>
      <x:c r="K86" s="51" t="n">
        <x:v>1811</x:v>
      </x:c>
      <x:c r="L86" s="46" t="str">
        <x:v>Unknown</x:v>
      </x:c>
      <x:c r="M86" s="46" t="str">
        <x:v>Recovered from indexed Redfin/property sources; exact row source not individually re-opened</x:v>
      </x:c>
      <x:c r="N86" s="46" t="str">
        <x:v>https://www.redfin.com/real-estate-agents/gurmeet-singh</x:v>
      </x:c>
      <x:c r="O86" s="46" t="str">
        <x:v>Historical transaction recovered during deep search; verify against MLS before publishing as authoritative.</x:v>
      </x:c>
      <x:c r="P86" t="str">
        <x:v>Recovered</x:v>
      </x:c>
      <x:c r="Q86" t="str">
        <x:v>Unknown</x:v>
      </x:c>
      <x:c r="R86" s="70" t="str">
        <x:v>https://www.google.com/search?tbm=isch&amp;q=%22478+Ribier+Ct%22+Manteca+CA+house</x:v>
      </x:c>
    </x:row>
    <x:row r="87">
      <x:c r="A87" s="33" t="n">
        <x:v>86</x:v>
      </x:c>
      <x:c r="B87" s="33" t="str">
        <x:v>Sold / recovered</x:v>
      </x:c>
      <x:c r="C87" s="46" t="str">
        <x:v>27443 Ponderosa Ct</x:v>
      </x:c>
      <x:c r="D87" s="46" t="str">
        <x:v>Hayward</x:v>
      </x:c>
      <x:c r="E87" s="46" t="str">
        <x:v>CA</x:v>
      </x:c>
      <x:c r="F87" s="46" t="str"/>
      <x:c r="G87" s="47" t="n">
        <x:v>497500</x:v>
      </x:c>
      <x:c r="H87" s="48"/>
      <x:c r="I87" s="49" t="n">
        <x:v>2</x:v>
      </x:c>
      <x:c r="J87" s="50" t="n">
        <x:v>1.5</x:v>
      </x:c>
      <x:c r="K87" s="51" t="n">
        <x:v>988</x:v>
      </x:c>
      <x:c r="L87" s="46" t="str">
        <x:v>Unknown</x:v>
      </x:c>
      <x:c r="M87" s="46" t="str">
        <x:v>Recovered from indexed Redfin/property sources; exact row source not individually re-opened</x:v>
      </x:c>
      <x:c r="N87" s="46" t="str">
        <x:v>https://www.redfin.com/real-estate-agents/gurmeet-singh</x:v>
      </x:c>
      <x:c r="O87" s="46" t="str">
        <x:v>Historical transaction recovered during deep search; verify against MLS before publishing as authoritative.</x:v>
      </x:c>
      <x:c r="P87" t="str">
        <x:v>Recovered</x:v>
      </x:c>
      <x:c r="Q87" t="str">
        <x:v>Unknown</x:v>
      </x:c>
      <x:c r="R87" s="70" t="str">
        <x:v>https://www.google.com/search?tbm=isch&amp;q=%2227443+Ponderosa+Ct%22+Hayward+CA+house</x:v>
      </x:c>
    </x:row>
    <x:row r="88">
      <x:c r="A88" s="33" t="n">
        <x:v>87</x:v>
      </x:c>
      <x:c r="B88" s="33" t="str">
        <x:v>Sold / recovered</x:v>
      </x:c>
      <x:c r="C88" s="46" t="str">
        <x:v>449 N Estes Way</x:v>
      </x:c>
      <x:c r="D88" s="46" t="str">
        <x:v>Mountain House</x:v>
      </x:c>
      <x:c r="E88" s="46" t="str">
        <x:v>CA</x:v>
      </x:c>
      <x:c r="F88" s="46" t="str"/>
      <x:c r="G88" s="47" t="n">
        <x:v>490000</x:v>
      </x:c>
      <x:c r="H88" s="48"/>
      <x:c r="I88" s="49" t="n">
        <x:v>3</x:v>
      </x:c>
      <x:c r="J88" s="50" t="n">
        <x:v>2</x:v>
      </x:c>
      <x:c r="K88" s="51" t="n">
        <x:v>1655</x:v>
      </x:c>
      <x:c r="L88" s="46" t="str">
        <x:v>Unknown</x:v>
      </x:c>
      <x:c r="M88" s="46" t="str">
        <x:v>Recovered from indexed Redfin/property sources; exact row source not individually re-opened</x:v>
      </x:c>
      <x:c r="N88" s="46" t="str">
        <x:v>https://www.redfin.com/real-estate-agents/gurmeet-singh</x:v>
      </x:c>
      <x:c r="O88" s="46" t="str">
        <x:v>Historical transaction recovered during deep search; verify against MLS before publishing as authoritative.</x:v>
      </x:c>
      <x:c r="P88" t="str">
        <x:v>Recovered</x:v>
      </x:c>
      <x:c r="Q88" t="str">
        <x:v>Unknown</x:v>
      </x:c>
      <x:c r="R88" s="70" t="str">
        <x:v>https://www.google.com/search?tbm=isch&amp;q=%22449+N+Estes+Way%22+Mountain+House+CA+house</x:v>
      </x:c>
    </x:row>
    <x:row r="89">
      <x:c r="A89" s="33" t="n">
        <x:v>88</x:v>
      </x:c>
      <x:c r="B89" s="33" t="str">
        <x:v>Sold / recovered</x:v>
      </x:c>
      <x:c r="C89" s="46" t="str">
        <x:v>1926 Hummingbird Dr</x:v>
      </x:c>
      <x:c r="D89" s="46" t="str">
        <x:v>Fairfield</x:v>
      </x:c>
      <x:c r="E89" s="46" t="str">
        <x:v>CA</x:v>
      </x:c>
      <x:c r="F89" s="46" t="str"/>
      <x:c r="G89" s="47" t="n">
        <x:v>470000</x:v>
      </x:c>
      <x:c r="H89" s="48"/>
      <x:c r="I89" s="49" t="n">
        <x:v>4</x:v>
      </x:c>
      <x:c r="J89" s="50" t="n">
        <x:v>2.5</x:v>
      </x:c>
      <x:c r="K89" s="51" t="n">
        <x:v>2160</x:v>
      </x:c>
      <x:c r="L89" s="46" t="str">
        <x:v>Unknown</x:v>
      </x:c>
      <x:c r="M89" s="46" t="str">
        <x:v>Recovered from indexed Redfin/property sources; exact row source not individually re-opened</x:v>
      </x:c>
      <x:c r="N89" s="46" t="str">
        <x:v>https://www.redfin.com/real-estate-agents/gurmeet-singh</x:v>
      </x:c>
      <x:c r="O89" s="46" t="str">
        <x:v>Historical transaction recovered during deep search; verify against MLS before publishing as authoritative.</x:v>
      </x:c>
      <x:c r="P89" t="str">
        <x:v>Recovered</x:v>
      </x:c>
      <x:c r="Q89" t="str">
        <x:v>Unknown</x:v>
      </x:c>
      <x:c r="R89" s="70" t="str">
        <x:v>https://www.google.com/search?tbm=isch&amp;q=%221926+Hummingbird+Dr%22+Fairfield+CA+house</x:v>
      </x:c>
    </x:row>
    <x:row r="90">
      <x:c r="A90" s="33" t="n">
        <x:v>89</x:v>
      </x:c>
      <x:c r="B90" s="33" t="str">
        <x:v>Sold / recovered</x:v>
      </x:c>
      <x:c r="C90" s="46" t="str">
        <x:v>3725 Waynesboro Dr</x:v>
      </x:c>
      <x:c r="D90" s="46" t="str">
        <x:v>Ceres</x:v>
      </x:c>
      <x:c r="E90" s="46" t="str">
        <x:v>CA</x:v>
      </x:c>
      <x:c r="F90" s="46" t="str"/>
      <x:c r="G90" s="47" t="n">
        <x:v>468000</x:v>
      </x:c>
      <x:c r="H90" s="48"/>
      <x:c r="I90" s="49" t="n">
        <x:v>5</x:v>
      </x:c>
      <x:c r="J90" s="50" t="n">
        <x:v>3</x:v>
      </x:c>
      <x:c r="K90" s="51" t="n">
        <x:v>3187</x:v>
      </x:c>
      <x:c r="L90" s="46" t="str">
        <x:v>Unknown</x:v>
      </x:c>
      <x:c r="M90" s="46" t="str">
        <x:v>Recovered from indexed Redfin/property sources; exact row source not individually re-opened</x:v>
      </x:c>
      <x:c r="N90" s="46" t="str">
        <x:v>https://www.redfin.com/real-estate-agents/gurmeet-singh</x:v>
      </x:c>
      <x:c r="O90" s="46" t="str">
        <x:v>Historical transaction recovered during deep search; verify against MLS before publishing as authoritative.</x:v>
      </x:c>
      <x:c r="P90" t="str">
        <x:v>Recovered</x:v>
      </x:c>
      <x:c r="Q90" t="str">
        <x:v>Unknown</x:v>
      </x:c>
      <x:c r="R90" s="70" t="str">
        <x:v>https://www.google.com/search?tbm=isch&amp;q=%223725+Waynesboro+Dr%22+Ceres+CA+house</x:v>
      </x:c>
    </x:row>
    <x:row r="91">
      <x:c r="A91" s="33" t="n">
        <x:v>90</x:v>
      </x:c>
      <x:c r="B91" s="33" t="str">
        <x:v>Sold / recovered</x:v>
      </x:c>
      <x:c r="C91" s="46" t="str">
        <x:v>1037 Stillspring Dr</x:v>
      </x:c>
      <x:c r="D91" s="46" t="str">
        <x:v>Vacaville</x:v>
      </x:c>
      <x:c r="E91" s="46" t="str">
        <x:v>CA</x:v>
      </x:c>
      <x:c r="F91" s="46" t="str"/>
      <x:c r="G91" s="47" t="n">
        <x:v>437500</x:v>
      </x:c>
      <x:c r="H91" s="48"/>
      <x:c r="I91" s="49" t="n">
        <x:v>4</x:v>
      </x:c>
      <x:c r="J91" s="50" t="n">
        <x:v>3</x:v>
      </x:c>
      <x:c r="K91" s="51" t="n">
        <x:v>4054</x:v>
      </x:c>
      <x:c r="L91" s="46" t="str">
        <x:v>Unknown</x:v>
      </x:c>
      <x:c r="M91" s="46" t="str">
        <x:v>Recovered from indexed Redfin/property sources; exact row source not individually re-opened</x:v>
      </x:c>
      <x:c r="N91" s="46" t="str">
        <x:v>https://www.redfin.com/real-estate-agents/gurmeet-singh</x:v>
      </x:c>
      <x:c r="O91" s="46" t="str">
        <x:v>Historical transaction recovered during deep search; verify against MLS before publishing as authoritative.</x:v>
      </x:c>
      <x:c r="P91" t="str">
        <x:v>Recovered</x:v>
      </x:c>
      <x:c r="Q91" t="str">
        <x:v>Unknown</x:v>
      </x:c>
      <x:c r="R91" s="70" t="str">
        <x:v>https://www.google.com/search?tbm=isch&amp;q=%221037+Stillspring+Dr%22+Vacaville+CA+house</x:v>
      </x:c>
    </x:row>
    <x:row r="92">
      <x:c r="A92" s="33" t="n">
        <x:v>91</x:v>
      </x:c>
      <x:c r="B92" s="33" t="str">
        <x:v>Sold / recovered</x:v>
      </x:c>
      <x:c r="C92" s="46" t="str">
        <x:v>4095 Abbey Ter #131</x:v>
      </x:c>
      <x:c r="D92" s="46" t="str">
        <x:v>Fremont</x:v>
      </x:c>
      <x:c r="E92" s="46" t="str">
        <x:v>CA</x:v>
      </x:c>
      <x:c r="F92" s="46" t="str"/>
      <x:c r="G92" s="47" t="n">
        <x:v>432550</x:v>
      </x:c>
      <x:c r="H92" s="48"/>
      <x:c r="I92" s="49" t="n">
        <x:v>2</x:v>
      </x:c>
      <x:c r="J92" s="50" t="n">
        <x:v>2</x:v>
      </x:c>
      <x:c r="K92" s="51" t="n">
        <x:v>823</x:v>
      </x:c>
      <x:c r="L92" s="46" t="str">
        <x:v>Unknown</x:v>
      </x:c>
      <x:c r="M92" s="46" t="str">
        <x:v>Recovered from indexed Redfin/property sources; exact row source not individually re-opened</x:v>
      </x:c>
      <x:c r="N92" s="46" t="str">
        <x:v>https://www.redfin.com/real-estate-agents/gurmeet-singh</x:v>
      </x:c>
      <x:c r="O92" s="46" t="str">
        <x:v>Historical transaction recovered during deep search; verify against MLS before publishing as authoritative.</x:v>
      </x:c>
      <x:c r="P92" t="str">
        <x:v>Recovered</x:v>
      </x:c>
      <x:c r="Q92" t="str">
        <x:v>Unknown</x:v>
      </x:c>
      <x:c r="R92" s="70" t="str">
        <x:v>https://www.google.com/search?tbm=isch&amp;q=%224095+Abbey+Ter+%23131%22+Fremont+CA+house</x:v>
      </x:c>
    </x:row>
    <x:row r="93">
      <x:c r="A93" s="33" t="n">
        <x:v>92</x:v>
      </x:c>
      <x:c r="B93" s="33" t="str">
        <x:v>Sold</x:v>
      </x:c>
      <x:c r="C93" s="46" t="str">
        <x:v>34819 Starling Dr #1</x:v>
      </x:c>
      <x:c r="D93" s="46" t="str">
        <x:v>Union City</x:v>
      </x:c>
      <x:c r="E93" s="46" t="str">
        <x:v>CA</x:v>
      </x:c>
      <x:c r="F93" s="46" t="str">
        <x:v>94587</x:v>
      </x:c>
      <x:c r="G93" s="47" t="n">
        <x:v>430000</x:v>
      </x:c>
      <x:c r="H93" s="48"/>
      <x:c r="I93" s="49" t="n">
        <x:v>2</x:v>
      </x:c>
      <x:c r="J93" s="50" t="n">
        <x:v>1</x:v>
      </x:c>
      <x:c r="K93" s="51" t="n">
        <x:v>810</x:v>
      </x:c>
      <x:c r="L93" s="46" t="str">
        <x:v>Buyer</x:v>
      </x:c>
      <x:c r="M93" s="46" t="str">
        <x:v>High - Compass property page</x:v>
      </x:c>
      <x:c r="N93" s="46" t="str">
        <x:v>https://www.compass.com/homedetails/34819-Starling-Dr-Unit-1-Union-City-CA-94587/1PPLFA_pid/</x:v>
      </x:c>
      <x:c r="O93" s="46" t="str">
        <x:v>2014 transaction.</x:v>
      </x:c>
      <x:c r="P93" t="str">
        <x:v>High</x:v>
      </x:c>
      <x:c r="Q93" t="str">
        <x:v>Buyer</x:v>
      </x:c>
      <x:c r="R93" s="70" t="str">
        <x:v>https://www.google.com/search?tbm=isch&amp;q=%2234819+Starling+Dr+%231%22+Union+City+CA+94587+house</x:v>
      </x:c>
    </x:row>
    <x:row r="94">
      <x:c r="A94" s="33" t="n">
        <x:v>93</x:v>
      </x:c>
      <x:c r="B94" s="33" t="str">
        <x:v>Sold / recovered</x:v>
      </x:c>
      <x:c r="C94" s="46" t="str">
        <x:v>6128 Lafayette Ave</x:v>
      </x:c>
      <x:c r="D94" s="46" t="str">
        <x:v>Newark</x:v>
      </x:c>
      <x:c r="E94" s="46" t="str">
        <x:v>CA</x:v>
      </x:c>
      <x:c r="F94" s="46" t="str"/>
      <x:c r="G94" s="47" t="n">
        <x:v>430000</x:v>
      </x:c>
      <x:c r="H94" s="48"/>
      <x:c r="I94" s="49" t="n">
        <x:v>3</x:v>
      </x:c>
      <x:c r="J94" s="50" t="n">
        <x:v>2</x:v>
      </x:c>
      <x:c r="K94" s="51" t="n">
        <x:v>1134</x:v>
      </x:c>
      <x:c r="L94" s="46" t="str">
        <x:v>Unknown</x:v>
      </x:c>
      <x:c r="M94" s="46" t="str">
        <x:v>Recovered from indexed Redfin/property sources; exact row source not individually re-opened</x:v>
      </x:c>
      <x:c r="N94" s="46" t="str">
        <x:v>https://www.redfin.com/real-estate-agents/gurmeet-singh</x:v>
      </x:c>
      <x:c r="O94" s="46" t="str">
        <x:v>Historical transaction recovered during deep search; verify against MLS before publishing as authoritative.</x:v>
      </x:c>
      <x:c r="P94" t="str">
        <x:v>Recovered</x:v>
      </x:c>
      <x:c r="Q94" t="str">
        <x:v>Unknown</x:v>
      </x:c>
      <x:c r="R94" s="70" t="str">
        <x:v>https://www.google.com/search?tbm=isch&amp;q=%226128+Lafayette+Ave%22+Newark+CA+house</x:v>
      </x:c>
    </x:row>
    <x:row r="95">
      <x:c r="A95" s="33" t="n">
        <x:v>94</x:v>
      </x:c>
      <x:c r="B95" s="33" t="str">
        <x:v>Sold / recovered</x:v>
      </x:c>
      <x:c r="C95" s="46" t="str">
        <x:v>2139 Canary Ct #2</x:v>
      </x:c>
      <x:c r="D95" s="46" t="str">
        <x:v>Union City</x:v>
      </x:c>
      <x:c r="E95" s="46" t="str">
        <x:v>CA</x:v>
      </x:c>
      <x:c r="F95" s="46" t="str"/>
      <x:c r="G95" s="47" t="n">
        <x:v>425000</x:v>
      </x:c>
      <x:c r="H95" s="48"/>
      <x:c r="I95" s="49" t="n">
        <x:v>2</x:v>
      </x:c>
      <x:c r="J95" s="50" t="n">
        <x:v>1</x:v>
      </x:c>
      <x:c r="K95" s="51" t="n">
        <x:v>903</x:v>
      </x:c>
      <x:c r="L95" s="46" t="str">
        <x:v>Unknown</x:v>
      </x:c>
      <x:c r="M95" s="46" t="str">
        <x:v>Recovered from indexed Redfin/property sources; exact row source not individually re-opened</x:v>
      </x:c>
      <x:c r="N95" s="46" t="str">
        <x:v>https://www.redfin.com/real-estate-agents/gurmeet-singh</x:v>
      </x:c>
      <x:c r="O95" s="46" t="str">
        <x:v>Historical transaction recovered during deep search; verify against MLS before publishing as authoritative.</x:v>
      </x:c>
      <x:c r="P95" t="str">
        <x:v>Recovered</x:v>
      </x:c>
      <x:c r="Q95" t="str">
        <x:v>Unknown</x:v>
      </x:c>
      <x:c r="R95" s="70" t="str">
        <x:v>https://www.google.com/search?tbm=isch&amp;q=%222139+Canary+Ct+%232%22+Union+City+CA+house</x:v>
      </x:c>
    </x:row>
    <x:row r="96">
      <x:c r="A96" s="33" t="n">
        <x:v>95</x:v>
      </x:c>
      <x:c r="B96" s="33" t="str">
        <x:v>Sold / recovered</x:v>
      </x:c>
      <x:c r="C96" s="46" t="str">
        <x:v>359 Lexington Ave</x:v>
      </x:c>
      <x:c r="D96" s="46" t="str">
        <x:v>Hayward</x:v>
      </x:c>
      <x:c r="E96" s="46" t="str">
        <x:v>CA</x:v>
      </x:c>
      <x:c r="F96" s="46" t="str"/>
      <x:c r="G96" s="47" t="n">
        <x:v>423000</x:v>
      </x:c>
      <x:c r="H96" s="48"/>
      <x:c r="I96" s="49" t="n">
        <x:v>4</x:v>
      </x:c>
      <x:c r="J96" s="50" t="n">
        <x:v>1</x:v>
      </x:c>
      <x:c r="K96" s="51" t="n">
        <x:v>1485</x:v>
      </x:c>
      <x:c r="L96" s="46" t="str">
        <x:v>Unknown</x:v>
      </x:c>
      <x:c r="M96" s="46" t="str">
        <x:v>Recovered from indexed Redfin/property sources; exact row source not individually re-opened</x:v>
      </x:c>
      <x:c r="N96" s="46" t="str">
        <x:v>https://www.redfin.com/real-estate-agents/gurmeet-singh</x:v>
      </x:c>
      <x:c r="O96" s="46" t="str">
        <x:v>Historical transaction recovered during deep search; verify against MLS before publishing as authoritative.</x:v>
      </x:c>
      <x:c r="P96" t="str">
        <x:v>Recovered</x:v>
      </x:c>
      <x:c r="Q96" t="str">
        <x:v>Unknown</x:v>
      </x:c>
      <x:c r="R96" s="70" t="str">
        <x:v>https://www.google.com/search?tbm=isch&amp;q=%22359+Lexington+Ave%22+Hayward+CA+house</x:v>
      </x:c>
    </x:row>
    <x:row r="97">
      <x:c r="A97" s="33" t="n">
        <x:v>96</x:v>
      </x:c>
      <x:c r="B97" s="33" t="str">
        <x:v>Sold / recovered</x:v>
      </x:c>
      <x:c r="C97" s="46" t="str">
        <x:v>8508 Hermitage Way</x:v>
      </x:c>
      <x:c r="D97" s="46" t="str">
        <x:v>Sacramento</x:v>
      </x:c>
      <x:c r="E97" s="46" t="str">
        <x:v>CA</x:v>
      </x:c>
      <x:c r="F97" s="46" t="str"/>
      <x:c r="G97" s="47" t="n">
        <x:v>411000</x:v>
      </x:c>
      <x:c r="H97" s="48"/>
      <x:c r="I97" s="49" t="n">
        <x:v>2</x:v>
      </x:c>
      <x:c r="J97" s="50" t="n">
        <x:v>2</x:v>
      </x:c>
      <x:c r="K97" s="51" t="n">
        <x:v>997</x:v>
      </x:c>
      <x:c r="L97" s="46" t="str">
        <x:v>Unknown</x:v>
      </x:c>
      <x:c r="M97" s="46" t="str">
        <x:v>Recovered from indexed Redfin/property sources; exact row source not individually re-opened</x:v>
      </x:c>
      <x:c r="N97" s="46" t="str">
        <x:v>https://www.redfin.com/real-estate-agents/gurmeet-singh</x:v>
      </x:c>
      <x:c r="O97" s="46" t="str">
        <x:v>Historical transaction recovered during deep search; verify against MLS before publishing as authoritative.</x:v>
      </x:c>
      <x:c r="P97" t="str">
        <x:v>Recovered</x:v>
      </x:c>
      <x:c r="Q97" t="str">
        <x:v>Unknown</x:v>
      </x:c>
      <x:c r="R97" s="70" t="str">
        <x:v>https://www.google.com/search?tbm=isch&amp;q=%228508+Hermitage+Way%22+Sacramento+CA+house</x:v>
      </x:c>
    </x:row>
    <x:row r="98">
      <x:c r="A98" s="33" t="n">
        <x:v>97</x:v>
      </x:c>
      <x:c r="B98" s="33" t="str">
        <x:v>Sold / recovered</x:v>
      </x:c>
      <x:c r="C98" s="46" t="str">
        <x:v>663 E Alameda</x:v>
      </x:c>
      <x:c r="D98" s="46" t="str">
        <x:v>Manteca</x:v>
      </x:c>
      <x:c r="E98" s="46" t="str">
        <x:v>CA</x:v>
      </x:c>
      <x:c r="F98" s="46" t="str"/>
      <x:c r="G98" s="47" t="n">
        <x:v>410000</x:v>
      </x:c>
      <x:c r="H98" s="48"/>
      <x:c r="I98" s="49" t="n">
        <x:v>3</x:v>
      </x:c>
      <x:c r="J98" s="50" t="n">
        <x:v>2</x:v>
      </x:c>
      <x:c r="K98" s="51" t="n">
        <x:v>1240</x:v>
      </x:c>
      <x:c r="L98" s="46" t="str">
        <x:v>Unknown</x:v>
      </x:c>
      <x:c r="M98" s="46" t="str">
        <x:v>Recovered from indexed Redfin/property sources; exact row source not individually re-opened</x:v>
      </x:c>
      <x:c r="N98" s="46" t="str">
        <x:v>https://www.redfin.com/real-estate-agents/gurmeet-singh</x:v>
      </x:c>
      <x:c r="O98" s="46" t="str">
        <x:v>Historical transaction recovered during deep search; verify against MLS before publishing as authoritative.</x:v>
      </x:c>
      <x:c r="P98" t="str">
        <x:v>Recovered</x:v>
      </x:c>
      <x:c r="Q98" t="str">
        <x:v>Unknown</x:v>
      </x:c>
      <x:c r="R98" s="70" t="str">
        <x:v>https://www.google.com/search?tbm=isch&amp;q=%22663+E+Alameda%22+Manteca+CA+house</x:v>
      </x:c>
    </x:row>
    <x:row r="99">
      <x:c r="A99" s="33" t="n">
        <x:v>98</x:v>
      </x:c>
      <x:c r="B99" s="33" t="str">
        <x:v>Sold / recovered</x:v>
      </x:c>
      <x:c r="C99" s="46" t="str">
        <x:v>27520 Ponderosa Ct</x:v>
      </x:c>
      <x:c r="D99" s="46" t="str">
        <x:v>Hayward</x:v>
      </x:c>
      <x:c r="E99" s="46" t="str">
        <x:v>CA</x:v>
      </x:c>
      <x:c r="F99" s="46" t="str"/>
      <x:c r="G99" s="47" t="n">
        <x:v>408500</x:v>
      </x:c>
      <x:c r="H99" s="48"/>
      <x:c r="I99" s="49" t="n">
        <x:v>3</x:v>
      </x:c>
      <x:c r="J99" s="50" t="n">
        <x:v>1.5</x:v>
      </x:c>
      <x:c r="K99" s="51" t="n">
        <x:v>1254</x:v>
      </x:c>
      <x:c r="L99" s="46" t="str">
        <x:v>Unknown</x:v>
      </x:c>
      <x:c r="M99" s="46" t="str">
        <x:v>Recovered from indexed Redfin/property sources; exact row source not individually re-opened</x:v>
      </x:c>
      <x:c r="N99" s="46" t="str">
        <x:v>https://www.redfin.com/real-estate-agents/gurmeet-singh</x:v>
      </x:c>
      <x:c r="O99" s="46" t="str">
        <x:v>Historical transaction recovered during deep search; verify against MLS before publishing as authoritative.</x:v>
      </x:c>
      <x:c r="P99" t="str">
        <x:v>Recovered</x:v>
      </x:c>
      <x:c r="Q99" t="str">
        <x:v>Unknown</x:v>
      </x:c>
      <x:c r="R99" s="70" t="str">
        <x:v>https://www.google.com/search?tbm=isch&amp;q=%2227520+Ponderosa+Ct%22+Hayward+CA+house</x:v>
      </x:c>
    </x:row>
    <x:row r="100">
      <x:c r="A100" s="33" t="n">
        <x:v>99</x:v>
      </x:c>
      <x:c r="B100" s="33" t="str">
        <x:v>Sold / recovered</x:v>
      </x:c>
      <x:c r="C100" s="46" t="str">
        <x:v>2549 Copa Del Oro Dr</x:v>
      </x:c>
      <x:c r="D100" s="46" t="str">
        <x:v>Union City</x:v>
      </x:c>
      <x:c r="E100" s="46" t="str">
        <x:v>CA</x:v>
      </x:c>
      <x:c r="F100" s="46" t="str"/>
      <x:c r="G100" s="47" t="n">
        <x:v>405000</x:v>
      </x:c>
      <x:c r="H100" s="48"/>
      <x:c r="I100" s="49" t="n">
        <x:v>2</x:v>
      </x:c>
      <x:c r="J100" s="50" t="n">
        <x:v>2</x:v>
      </x:c>
      <x:c r="K100" s="51" t="n">
        <x:v>966</x:v>
      </x:c>
      <x:c r="L100" s="46" t="str">
        <x:v>Unknown</x:v>
      </x:c>
      <x:c r="M100" s="46" t="str">
        <x:v>Recovered from indexed Redfin/property sources; exact row source not individually re-opened</x:v>
      </x:c>
      <x:c r="N100" s="46" t="str">
        <x:v>https://www.redfin.com/real-estate-agents/gurmeet-singh</x:v>
      </x:c>
      <x:c r="O100" s="46" t="str">
        <x:v>Historical transaction recovered during deep search; verify against MLS before publishing as authoritative.</x:v>
      </x:c>
      <x:c r="P100" t="str">
        <x:v>Recovered</x:v>
      </x:c>
      <x:c r="Q100" t="str">
        <x:v>Unknown</x:v>
      </x:c>
      <x:c r="R100" s="70" t="str">
        <x:v>https://www.google.com/search?tbm=isch&amp;q=%222549+Copa+Del+Oro+Dr%22+Union+City+CA+house</x:v>
      </x:c>
    </x:row>
    <x:row r="101">
      <x:c r="A101" s="33" t="n">
        <x:v>100</x:v>
      </x:c>
      <x:c r="B101" s="33" t="str">
        <x:v>Sold / recovered</x:v>
      </x:c>
      <x:c r="C101" s="46" t="str">
        <x:v>112 Camino Plz</x:v>
      </x:c>
      <x:c r="D101" s="46" t="str">
        <x:v>Union City</x:v>
      </x:c>
      <x:c r="E101" s="46" t="str">
        <x:v>CA</x:v>
      </x:c>
      <x:c r="F101" s="46" t="str"/>
      <x:c r="G101" s="47" t="n">
        <x:v>395000</x:v>
      </x:c>
      <x:c r="H101" s="48"/>
      <x:c r="I101" s="49" t="n">
        <x:v>2</x:v>
      </x:c>
      <x:c r="J101" s="50" t="n">
        <x:v>2</x:v>
      </x:c>
      <x:c r="K101" s="51" t="n">
        <x:v>880</x:v>
      </x:c>
      <x:c r="L101" s="46" t="str">
        <x:v>Unknown</x:v>
      </x:c>
      <x:c r="M101" s="46" t="str">
        <x:v>Recovered from indexed Redfin/property sources; exact row source not individually re-opened</x:v>
      </x:c>
      <x:c r="N101" s="46" t="str">
        <x:v>https://www.redfin.com/real-estate-agents/gurmeet-singh</x:v>
      </x:c>
      <x:c r="O101" s="46" t="str">
        <x:v>Historical transaction recovered during deep search; verify against MLS before publishing as authoritative.</x:v>
      </x:c>
      <x:c r="P101" t="str">
        <x:v>Recovered</x:v>
      </x:c>
      <x:c r="Q101" t="str">
        <x:v>Unknown</x:v>
      </x:c>
      <x:c r="R101" s="70" t="str">
        <x:v>https://www.google.com/search?tbm=isch&amp;q=%22112+Camino+Plz%22+Union+City+CA+house</x:v>
      </x:c>
    </x:row>
    <x:row r="102">
      <x:c r="A102" s="33" t="n">
        <x:v>101</x:v>
      </x:c>
      <x:c r="B102" s="33" t="str">
        <x:v>Sold / recovered</x:v>
      </x:c>
      <x:c r="C102" s="46" t="str">
        <x:v>3228 Red Cedar Ter</x:v>
      </x:c>
      <x:c r="D102" s="46" t="str">
        <x:v>Fremont</x:v>
      </x:c>
      <x:c r="E102" s="46" t="str">
        <x:v>CA</x:v>
      </x:c>
      <x:c r="F102" s="46" t="str"/>
      <x:c r="G102" s="47" t="n">
        <x:v>390500</x:v>
      </x:c>
      <x:c r="H102" s="48"/>
      <x:c r="I102" s="49" t="n">
        <x:v>2</x:v>
      </x:c>
      <x:c r="J102" s="50" t="n">
        <x:v>1</x:v>
      </x:c>
      <x:c r="K102" s="51" t="n">
        <x:v>750</x:v>
      </x:c>
      <x:c r="L102" s="46" t="str">
        <x:v>Unknown</x:v>
      </x:c>
      <x:c r="M102" s="46" t="str">
        <x:v>Recovered from indexed Redfin/property sources; exact row source not individually re-opened</x:v>
      </x:c>
      <x:c r="N102" s="46" t="str">
        <x:v>https://www.redfin.com/real-estate-agents/gurmeet-singh</x:v>
      </x:c>
      <x:c r="O102" s="46" t="str">
        <x:v>Historical transaction recovered during deep search; verify against MLS before publishing as authoritative.</x:v>
      </x:c>
      <x:c r="P102" t="str">
        <x:v>Recovered</x:v>
      </x:c>
      <x:c r="Q102" t="str">
        <x:v>Unknown</x:v>
      </x:c>
      <x:c r="R102" s="70" t="str">
        <x:v>https://www.google.com/search?tbm=isch&amp;q=%223228+Red+Cedar+Ter%22+Fremont+CA+house</x:v>
      </x:c>
    </x:row>
    <x:row r="103">
      <x:c r="A103" s="33" t="n">
        <x:v>102</x:v>
      </x:c>
      <x:c r="B103" s="33" t="str">
        <x:v>Sold / recovered</x:v>
      </x:c>
      <x:c r="C103" s="46" t="str">
        <x:v>3324 Longview Rd</x:v>
      </x:c>
      <x:c r="D103" s="46" t="str">
        <x:v>Antioch</x:v>
      </x:c>
      <x:c r="E103" s="46" t="str">
        <x:v>CA</x:v>
      </x:c>
      <x:c r="F103" s="46" t="str"/>
      <x:c r="G103" s="47" t="n">
        <x:v>387500</x:v>
      </x:c>
      <x:c r="H103" s="48"/>
      <x:c r="I103" s="49" t="n">
        <x:v>3</x:v>
      </x:c>
      <x:c r="J103" s="50" t="n">
        <x:v>2</x:v>
      </x:c>
      <x:c r="K103" s="51" t="n">
        <x:v>1330</x:v>
      </x:c>
      <x:c r="L103" s="46" t="str">
        <x:v>Unknown</x:v>
      </x:c>
      <x:c r="M103" s="46" t="str">
        <x:v>Recovered from indexed Redfin/property sources; exact row source not individually re-opened</x:v>
      </x:c>
      <x:c r="N103" s="46" t="str">
        <x:v>https://www.redfin.com/real-estate-agents/gurmeet-singh</x:v>
      </x:c>
      <x:c r="O103" s="46" t="str">
        <x:v>Historical transaction recovered during deep search; verify against MLS before publishing as authoritative.</x:v>
      </x:c>
      <x:c r="P103" t="str">
        <x:v>Recovered</x:v>
      </x:c>
      <x:c r="Q103" t="str">
        <x:v>Unknown</x:v>
      </x:c>
      <x:c r="R103" s="70" t="str">
        <x:v>https://www.google.com/search?tbm=isch&amp;q=%223324+Longview+Rd%22+Antioch+CA+house</x:v>
      </x:c>
    </x:row>
    <x:row r="104">
      <x:c r="A104" s="33" t="n">
        <x:v>103</x:v>
      </x:c>
      <x:c r="B104" s="33" t="str">
        <x:v>Sold / recovered</x:v>
      </x:c>
      <x:c r="C104" s="46" t="str">
        <x:v>337 Shepherd Ave</x:v>
      </x:c>
      <x:c r="D104" s="46" t="str">
        <x:v>Hayward</x:v>
      </x:c>
      <x:c r="E104" s="46" t="str">
        <x:v>CA</x:v>
      </x:c>
      <x:c r="F104" s="46" t="str"/>
      <x:c r="G104" s="47" t="n">
        <x:v>384300</x:v>
      </x:c>
      <x:c r="H104" s="48"/>
      <x:c r="I104" s="49" t="n">
        <x:v>3</x:v>
      </x:c>
      <x:c r="J104" s="50" t="n">
        <x:v>1.5</x:v>
      </x:c>
      <x:c r="K104" s="51" t="n">
        <x:v>1000</x:v>
      </x:c>
      <x:c r="L104" s="46" t="str">
        <x:v>Unknown</x:v>
      </x:c>
      <x:c r="M104" s="46" t="str">
        <x:v>Recovered from indexed Redfin/property sources; exact row source not individually re-opened</x:v>
      </x:c>
      <x:c r="N104" s="46" t="str">
        <x:v>https://www.redfin.com/real-estate-agents/gurmeet-singh</x:v>
      </x:c>
      <x:c r="O104" s="46" t="str">
        <x:v>Historical transaction recovered during deep search; verify against MLS before publishing as authoritative.</x:v>
      </x:c>
      <x:c r="P104" t="str">
        <x:v>Recovered</x:v>
      </x:c>
      <x:c r="Q104" t="str">
        <x:v>Unknown</x:v>
      </x:c>
      <x:c r="R104" s="70" t="str">
        <x:v>https://www.google.com/search?tbm=isch&amp;q=%22337+Shepherd+Ave%22+Hayward+CA+house</x:v>
      </x:c>
    </x:row>
    <x:row r="105">
      <x:c r="A105" s="33" t="n">
        <x:v>104</x:v>
      </x:c>
      <x:c r="B105" s="33" t="str">
        <x:v>Sold / recovered</x:v>
      </x:c>
      <x:c r="C105" s="46" t="str">
        <x:v>543 Argonaut St</x:v>
      </x:c>
      <x:c r="D105" s="46" t="str">
        <x:v>Manteca</x:v>
      </x:c>
      <x:c r="E105" s="46" t="str">
        <x:v>CA</x:v>
      </x:c>
      <x:c r="F105" s="46" t="str"/>
      <x:c r="G105" s="47" t="n">
        <x:v>380000</x:v>
      </x:c>
      <x:c r="H105" s="48"/>
      <x:c r="I105" s="49" t="n">
        <x:v>3</x:v>
      </x:c>
      <x:c r="J105" s="50" t="n">
        <x:v>2</x:v>
      </x:c>
      <x:c r="K105" s="51" t="n">
        <x:v>1343</x:v>
      </x:c>
      <x:c r="L105" s="46" t="str">
        <x:v>Unknown</x:v>
      </x:c>
      <x:c r="M105" s="46" t="str">
        <x:v>Recovered from indexed Redfin/property sources; exact row source not individually re-opened</x:v>
      </x:c>
      <x:c r="N105" s="46" t="str">
        <x:v>https://www.redfin.com/real-estate-agents/gurmeet-singh</x:v>
      </x:c>
      <x:c r="O105" s="46" t="str">
        <x:v>Historical transaction recovered during deep search; verify against MLS before publishing as authoritative.</x:v>
      </x:c>
      <x:c r="P105" t="str">
        <x:v>Recovered</x:v>
      </x:c>
      <x:c r="Q105" t="str">
        <x:v>Unknown</x:v>
      </x:c>
      <x:c r="R105" s="70" t="str">
        <x:v>https://www.google.com/search?tbm=isch&amp;q=%22543+Argonaut+St%22+Manteca+CA+house</x:v>
      </x:c>
    </x:row>
    <x:row r="106">
      <x:c r="A106" s="33" t="n">
        <x:v>105</x:v>
      </x:c>
      <x:c r="B106" s="33" t="str">
        <x:v>Sold / recovered</x:v>
      </x:c>
      <x:c r="C106" s="46" t="str">
        <x:v>32640 Brenda Way #4</x:v>
      </x:c>
      <x:c r="D106" s="46" t="str">
        <x:v>Union City</x:v>
      </x:c>
      <x:c r="E106" s="46" t="str">
        <x:v>CA</x:v>
      </x:c>
      <x:c r="F106" s="46" t="str"/>
      <x:c r="G106" s="47" t="n">
        <x:v>365500</x:v>
      </x:c>
      <x:c r="H106" s="48"/>
      <x:c r="I106" s="49" t="n">
        <x:v>2</x:v>
      </x:c>
      <x:c r="J106" s="50" t="n">
        <x:v>1</x:v>
      </x:c>
      <x:c r="K106" s="51" t="n">
        <x:v>798</x:v>
      </x:c>
      <x:c r="L106" s="46" t="str">
        <x:v>Unknown</x:v>
      </x:c>
      <x:c r="M106" s="46" t="str">
        <x:v>Recovered from indexed Redfin/property sources; exact row source not individually re-opened</x:v>
      </x:c>
      <x:c r="N106" s="46" t="str">
        <x:v>https://www.redfin.com/real-estate-agents/gurmeet-singh</x:v>
      </x:c>
      <x:c r="O106" s="46" t="str">
        <x:v>Historical transaction recovered during deep search; verify against MLS before publishing as authoritative.</x:v>
      </x:c>
      <x:c r="P106" t="str">
        <x:v>Recovered</x:v>
      </x:c>
      <x:c r="Q106" t="str">
        <x:v>Unknown</x:v>
      </x:c>
      <x:c r="R106" s="70" t="str">
        <x:v>https://www.google.com/search?tbm=isch&amp;q=%2232640+Brenda+Way+%234%22+Union+City+CA+house</x:v>
      </x:c>
    </x:row>
    <x:row r="107">
      <x:c r="A107" s="33" t="n">
        <x:v>106</x:v>
      </x:c>
      <x:c r="B107" s="33" t="str">
        <x:v>Sold / recovered</x:v>
      </x:c>
      <x:c r="C107" s="46" t="str">
        <x:v>237 Tamarack Dr</x:v>
      </x:c>
      <x:c r="D107" s="46" t="str">
        <x:v>Union City</x:v>
      </x:c>
      <x:c r="E107" s="46" t="str">
        <x:v>CA</x:v>
      </x:c>
      <x:c r="F107" s="46" t="str"/>
      <x:c r="G107" s="47" t="n">
        <x:v>351500</x:v>
      </x:c>
      <x:c r="H107" s="48"/>
      <x:c r="I107" s="49" t="n">
        <x:v>3</x:v>
      </x:c>
      <x:c r="J107" s="50" t="n">
        <x:v>2</x:v>
      </x:c>
      <x:c r="K107" s="51" t="n">
        <x:v>1683</x:v>
      </x:c>
      <x:c r="L107" s="46" t="str">
        <x:v>Unknown</x:v>
      </x:c>
      <x:c r="M107" s="46" t="str">
        <x:v>Recovered from indexed Redfin/property sources; exact row source not individually re-opened</x:v>
      </x:c>
      <x:c r="N107" s="46" t="str">
        <x:v>https://www.redfin.com/real-estate-agents/gurmeet-singh</x:v>
      </x:c>
      <x:c r="O107" s="46" t="str">
        <x:v>Historical transaction recovered during deep search; verify against MLS before publishing as authoritative.</x:v>
      </x:c>
      <x:c r="P107" t="str">
        <x:v>Recovered</x:v>
      </x:c>
      <x:c r="Q107" t="str">
        <x:v>Unknown</x:v>
      </x:c>
      <x:c r="R107" s="70" t="str">
        <x:v>https://www.google.com/search?tbm=isch&amp;q=%22237+Tamarack+Dr%22+Union+City+CA+house</x:v>
      </x:c>
    </x:row>
    <x:row r="108">
      <x:c r="A108" s="33" t="n">
        <x:v>107</x:v>
      </x:c>
      <x:c r="B108" s="33" t="str">
        <x:v>Sold / recovered</x:v>
      </x:c>
      <x:c r="C108" s="46" t="str">
        <x:v>925 Vallerand Rd</x:v>
      </x:c>
      <x:c r="D108" s="46" t="str">
        <x:v>Tracy</x:v>
      </x:c>
      <x:c r="E108" s="46" t="str">
        <x:v>CA</x:v>
      </x:c>
      <x:c r="F108" s="46" t="str"/>
      <x:c r="G108" s="47" t="n">
        <x:v>340700</x:v>
      </x:c>
      <x:c r="H108" s="48"/>
      <x:c r="I108" s="49" t="n">
        <x:v>4</x:v>
      </x:c>
      <x:c r="J108" s="50" t="n">
        <x:v>2.5</x:v>
      </x:c>
      <x:c r="K108" s="51" t="n">
        <x:v>1898</x:v>
      </x:c>
      <x:c r="L108" s="46" t="str">
        <x:v>Unknown</x:v>
      </x:c>
      <x:c r="M108" s="46" t="str">
        <x:v>Recovered from indexed Redfin/property sources; exact row source not individually re-opened</x:v>
      </x:c>
      <x:c r="N108" s="46" t="str">
        <x:v>https://www.redfin.com/real-estate-agents/gurmeet-singh</x:v>
      </x:c>
      <x:c r="O108" s="46" t="str">
        <x:v>Historical transaction recovered during deep search; verify against MLS before publishing as authoritative.</x:v>
      </x:c>
      <x:c r="P108" t="str">
        <x:v>Recovered</x:v>
      </x:c>
      <x:c r="Q108" t="str">
        <x:v>Unknown</x:v>
      </x:c>
      <x:c r="R108" s="70" t="str">
        <x:v>https://www.google.com/search?tbm=isch&amp;q=%22925+Vallerand+Rd%22+Tracy+CA+house</x:v>
      </x:c>
    </x:row>
    <x:row r="109">
      <x:c r="A109" s="33" t="n">
        <x:v>108</x:v>
      </x:c>
      <x:c r="B109" s="33" t="str">
        <x:v>Sold / recovered</x:v>
      </x:c>
      <x:c r="C109" s="46" t="str">
        <x:v>1805 Gordon Verner Cir</x:v>
      </x:c>
      <x:c r="D109" s="46" t="str">
        <x:v>Stockton</x:v>
      </x:c>
      <x:c r="E109" s="46" t="str">
        <x:v>CA</x:v>
      </x:c>
      <x:c r="F109" s="46" t="str"/>
      <x:c r="G109" s="47" t="n">
        <x:v>335000</x:v>
      </x:c>
      <x:c r="H109" s="48"/>
      <x:c r="I109" s="49" t="n">
        <x:v>3</x:v>
      </x:c>
      <x:c r="J109" s="50" t="n">
        <x:v>2.5</x:v>
      </x:c>
      <x:c r="K109" s="51" t="n">
        <x:v>1492</x:v>
      </x:c>
      <x:c r="L109" s="46" t="str">
        <x:v>Unknown</x:v>
      </x:c>
      <x:c r="M109" s="46" t="str">
        <x:v>Recovered from indexed Redfin/property sources; exact row source not individually re-opened</x:v>
      </x:c>
      <x:c r="N109" s="46" t="str">
        <x:v>https://www.redfin.com/real-estate-agents/gurmeet-singh</x:v>
      </x:c>
      <x:c r="O109" s="46" t="str">
        <x:v>Historical transaction recovered during deep search; verify against MLS before publishing as authoritative.</x:v>
      </x:c>
      <x:c r="P109" t="str">
        <x:v>Recovered</x:v>
      </x:c>
      <x:c r="Q109" t="str">
        <x:v>Unknown</x:v>
      </x:c>
      <x:c r="R109" s="70" t="str">
        <x:v>https://www.google.com/search?tbm=isch&amp;q=%221805+Gordon+Verner+Cir%22+Stockton+CA+house</x:v>
      </x:c>
    </x:row>
    <x:row r="110">
      <x:c r="A110" s="33" t="n">
        <x:v>109</x:v>
      </x:c>
      <x:c r="B110" s="33" t="str">
        <x:v>Sold / recovered</x:v>
      </x:c>
      <x:c r="C110" s="46" t="str">
        <x:v>33609 11th St</x:v>
      </x:c>
      <x:c r="D110" s="46" t="str">
        <x:v>Union City</x:v>
      </x:c>
      <x:c r="E110" s="46" t="str">
        <x:v>CA</x:v>
      </x:c>
      <x:c r="F110" s="46" t="str"/>
      <x:c r="G110" s="47" t="n">
        <x:v>330000</x:v>
      </x:c>
      <x:c r="H110" s="48"/>
      <x:c r="I110" s="49" t="n">
        <x:v>4</x:v>
      </x:c>
      <x:c r="J110" s="50" t="n">
        <x:v>2</x:v>
      </x:c>
      <x:c r="K110" s="51" t="n">
        <x:v>1498</x:v>
      </x:c>
      <x:c r="L110" s="46" t="str">
        <x:v>Unknown</x:v>
      </x:c>
      <x:c r="M110" s="46" t="str">
        <x:v>Recovered from indexed Redfin/property sources; exact row source not individually re-opened</x:v>
      </x:c>
      <x:c r="N110" s="46" t="str">
        <x:v>https://www.redfin.com/real-estate-agents/gurmeet-singh</x:v>
      </x:c>
      <x:c r="O110" s="46" t="str">
        <x:v>Historical transaction recovered during deep search; verify against MLS before publishing as authoritative.</x:v>
      </x:c>
      <x:c r="P110" t="str">
        <x:v>Recovered</x:v>
      </x:c>
      <x:c r="Q110" t="str">
        <x:v>Unknown</x:v>
      </x:c>
      <x:c r="R110" s="70" t="str">
        <x:v>https://www.google.com/search?tbm=isch&amp;q=%2233609+11th+St%22+Union+City+CA+house</x:v>
      </x:c>
    </x:row>
    <x:row r="111">
      <x:c r="A111" s="33" t="n">
        <x:v>110</x:v>
      </x:c>
      <x:c r="B111" s="33" t="str">
        <x:v>Sold / recovered</x:v>
      </x:c>
      <x:c r="C111" s="46" t="str">
        <x:v>7115 Adrian Dr</x:v>
      </x:c>
      <x:c r="D111" s="46" t="str">
        <x:v>Rohnert Park</x:v>
      </x:c>
      <x:c r="E111" s="46" t="str">
        <x:v>CA</x:v>
      </x:c>
      <x:c r="F111" s="46" t="str"/>
      <x:c r="G111" s="47" t="n">
        <x:v>325500</x:v>
      </x:c>
      <x:c r="H111" s="48"/>
      <x:c r="I111" s="49" t="n">
        <x:v>3</x:v>
      </x:c>
      <x:c r="J111" s="50" t="n">
        <x:v>2</x:v>
      </x:c>
      <x:c r="K111" s="51" t="n">
        <x:v>1200</x:v>
      </x:c>
      <x:c r="L111" s="46" t="str">
        <x:v>Unknown</x:v>
      </x:c>
      <x:c r="M111" s="46" t="str">
        <x:v>Recovered from indexed Redfin/property sources; exact row source not individually re-opened</x:v>
      </x:c>
      <x:c r="N111" s="46" t="str">
        <x:v>https://www.redfin.com/real-estate-agents/gurmeet-singh</x:v>
      </x:c>
      <x:c r="O111" s="46" t="str">
        <x:v>Historical transaction recovered during deep search; verify against MLS before publishing as authoritative.</x:v>
      </x:c>
      <x:c r="P111" t="str">
        <x:v>Recovered</x:v>
      </x:c>
      <x:c r="Q111" t="str">
        <x:v>Unknown</x:v>
      </x:c>
      <x:c r="R111" s="70" t="str">
        <x:v>https://www.google.com/search?tbm=isch&amp;q=%227115+Adrian+Dr%22+Rohnert+Park+CA+house</x:v>
      </x:c>
    </x:row>
    <x:row r="112">
      <x:c r="A112" s="33" t="n">
        <x:v>111</x:v>
      </x:c>
      <x:c r="B112" s="33" t="str">
        <x:v>Sold / recovered</x:v>
      </x:c>
      <x:c r="C112" s="46" t="str">
        <x:v>1285 W Springer</x:v>
      </x:c>
      <x:c r="D112" s="46" t="str">
        <x:v>Turlock</x:v>
      </x:c>
      <x:c r="E112" s="46" t="str">
        <x:v>CA</x:v>
      </x:c>
      <x:c r="F112" s="46" t="str"/>
      <x:c r="G112" s="47" t="n">
        <x:v>316500</x:v>
      </x:c>
      <x:c r="H112" s="48"/>
      <x:c r="I112" s="49" t="n">
        <x:v>4</x:v>
      </x:c>
      <x:c r="J112" s="50" t="n">
        <x:v>3</x:v>
      </x:c>
      <x:c r="K112" s="51" t="n">
        <x:v>2449</x:v>
      </x:c>
      <x:c r="L112" s="46" t="str">
        <x:v>Unknown</x:v>
      </x:c>
      <x:c r="M112" s="46" t="str">
        <x:v>Recovered from indexed Redfin/property sources; exact row source not individually re-opened</x:v>
      </x:c>
      <x:c r="N112" s="46" t="str">
        <x:v>https://www.redfin.com/real-estate-agents/gurmeet-singh</x:v>
      </x:c>
      <x:c r="O112" s="46" t="str">
        <x:v>Historical transaction recovered during deep search; verify against MLS before publishing as authoritative.</x:v>
      </x:c>
      <x:c r="P112" t="str">
        <x:v>Recovered</x:v>
      </x:c>
      <x:c r="Q112" t="str">
        <x:v>Unknown</x:v>
      </x:c>
      <x:c r="R112" s="70" t="str">
        <x:v>https://www.google.com/search?tbm=isch&amp;q=%221285+W+Springer%22+Turlock+CA+house</x:v>
      </x:c>
    </x:row>
    <x:row r="113">
      <x:c r="A113" s="33" t="n">
        <x:v>112</x:v>
      </x:c>
      <x:c r="B113" s="33" t="str">
        <x:v>Sold / recovered</x:v>
      </x:c>
      <x:c r="C113" s="46" t="str">
        <x:v>7816 Empingham Way</x:v>
      </x:c>
      <x:c r="D113" s="46" t="str">
        <x:v>Sacramento</x:v>
      </x:c>
      <x:c r="E113" s="46" t="str">
        <x:v>CA</x:v>
      </x:c>
      <x:c r="F113" s="46" t="str"/>
      <x:c r="G113" s="47" t="n">
        <x:v>310000</x:v>
      </x:c>
      <x:c r="H113" s="48"/>
      <x:c r="I113" s="49" t="n">
        <x:v>3</x:v>
      </x:c>
      <x:c r="J113" s="50" t="n">
        <x:v>2</x:v>
      </x:c>
      <x:c r="K113" s="51" t="n">
        <x:v>1137</x:v>
      </x:c>
      <x:c r="L113" s="46" t="str">
        <x:v>Unknown</x:v>
      </x:c>
      <x:c r="M113" s="46" t="str">
        <x:v>Recovered from indexed Redfin/property sources; exact row source not individually re-opened</x:v>
      </x:c>
      <x:c r="N113" s="46" t="str">
        <x:v>https://www.redfin.com/real-estate-agents/gurmeet-singh</x:v>
      </x:c>
      <x:c r="O113" s="46" t="str">
        <x:v>Historical transaction recovered during deep search; verify against MLS before publishing as authoritative.</x:v>
      </x:c>
      <x:c r="P113" t="str">
        <x:v>Recovered</x:v>
      </x:c>
      <x:c r="Q113" t="str">
        <x:v>Unknown</x:v>
      </x:c>
      <x:c r="R113" s="70" t="str">
        <x:v>https://www.google.com/search?tbm=isch&amp;q=%227816+Empingham+Way%22+Sacramento+CA+house</x:v>
      </x:c>
    </x:row>
    <x:row r="114">
      <x:c r="A114" s="33" t="n">
        <x:v>113</x:v>
      </x:c>
      <x:c r="B114" s="33" t="str">
        <x:v>Sold / recovered</x:v>
      </x:c>
      <x:c r="C114" s="46" t="str">
        <x:v>673 Royston #135</x:v>
      </x:c>
      <x:c r="D114" s="46" t="str">
        <x:v>Hayward</x:v>
      </x:c>
      <x:c r="E114" s="46" t="str">
        <x:v>CA</x:v>
      </x:c>
      <x:c r="F114" s="46" t="str"/>
      <x:c r="G114" s="47" t="n">
        <x:v>290000</x:v>
      </x:c>
      <x:c r="H114" s="48"/>
      <x:c r="I114" s="49" t="n">
        <x:v>1</x:v>
      </x:c>
      <x:c r="J114" s="50" t="n">
        <x:v>1</x:v>
      </x:c>
      <x:c r="K114" s="51" t="n">
        <x:v>643</x:v>
      </x:c>
      <x:c r="L114" s="46" t="str">
        <x:v>Unknown</x:v>
      </x:c>
      <x:c r="M114" s="46" t="str">
        <x:v>Recovered from indexed Redfin/property sources; exact row source not individually re-opened</x:v>
      </x:c>
      <x:c r="N114" s="46" t="str">
        <x:v>https://www.redfin.com/real-estate-agents/gurmeet-singh</x:v>
      </x:c>
      <x:c r="O114" s="46" t="str">
        <x:v>Historical transaction recovered during deep search; verify against MLS before publishing as authoritative.</x:v>
      </x:c>
      <x:c r="P114" t="str">
        <x:v>Recovered</x:v>
      </x:c>
      <x:c r="Q114" t="str">
        <x:v>Unknown</x:v>
      </x:c>
      <x:c r="R114" s="70" t="str">
        <x:v>https://www.google.com/search?tbm=isch&amp;q=%22673+Royston+%23135%22+Hayward+CA+house</x:v>
      </x:c>
    </x:row>
    <x:row r="115">
      <x:c r="A115" s="33" t="n">
        <x:v>114</x:v>
      </x:c>
      <x:c r="B115" s="33" t="str">
        <x:v>Sold / recovered</x:v>
      </x:c>
      <x:c r="C115" s="46" t="str">
        <x:v>6003 Joaquin Murieta Ave Unit D</x:v>
      </x:c>
      <x:c r="D115" s="46" t="str">
        <x:v>Newark</x:v>
      </x:c>
      <x:c r="E115" s="46" t="str">
        <x:v>CA</x:v>
      </x:c>
      <x:c r="F115" s="46" t="str"/>
      <x:c r="G115" s="47" t="n">
        <x:v>276500</x:v>
      </x:c>
      <x:c r="H115" s="48"/>
      <x:c r="I115" s="49" t="n">
        <x:v>3</x:v>
      </x:c>
      <x:c r="J115" s="50" t="n">
        <x:v>2.5</x:v>
      </x:c>
      <x:c r="K115" s="51" t="n">
        <x:v>1408</x:v>
      </x:c>
      <x:c r="L115" s="46" t="str">
        <x:v>Unknown</x:v>
      </x:c>
      <x:c r="M115" s="46" t="str">
        <x:v>Recovered from indexed Redfin/property sources; exact row source not individually re-opened</x:v>
      </x:c>
      <x:c r="N115" s="46" t="str">
        <x:v>https://www.redfin.com/real-estate-agents/gurmeet-singh</x:v>
      </x:c>
      <x:c r="O115" s="46" t="str">
        <x:v>Historical transaction recovered during deep search; verify against MLS before publishing as authoritative.</x:v>
      </x:c>
      <x:c r="P115" t="str">
        <x:v>Recovered</x:v>
      </x:c>
      <x:c r="Q115" t="str">
        <x:v>Unknown</x:v>
      </x:c>
      <x:c r="R115" s="70" t="str">
        <x:v>https://www.google.com/search?tbm=isch&amp;q=%226003+Joaquin+Murieta+Ave+Unit+D%22+Newark+CA+house</x:v>
      </x:c>
    </x:row>
    <x:row r="116">
      <x:c r="A116" s="33" t="n">
        <x:v>115</x:v>
      </x:c>
      <x:c r="B116" s="33" t="str">
        <x:v>Sold / recovered</x:v>
      </x:c>
      <x:c r="C116" s="46" t="str">
        <x:v>27344 Marigold Ct</x:v>
      </x:c>
      <x:c r="D116" s="46" t="str">
        <x:v>Hayward</x:v>
      </x:c>
      <x:c r="E116" s="46" t="str">
        <x:v>CA</x:v>
      </x:c>
      <x:c r="F116" s="46" t="str"/>
      <x:c r="G116" s="47" t="n">
        <x:v>275000</x:v>
      </x:c>
      <x:c r="H116" s="48"/>
      <x:c r="I116" s="49" t="n">
        <x:v>3</x:v>
      </x:c>
      <x:c r="J116" s="50" t="n">
        <x:v>2</x:v>
      </x:c>
      <x:c r="K116" s="51" t="n">
        <x:v>1220</x:v>
      </x:c>
      <x:c r="L116" s="46" t="str">
        <x:v>Unknown</x:v>
      </x:c>
      <x:c r="M116" s="46" t="str">
        <x:v>Recovered from indexed Redfin/property sources; exact row source not individually re-opened</x:v>
      </x:c>
      <x:c r="N116" s="46" t="str">
        <x:v>https://www.redfin.com/real-estate-agents/gurmeet-singh</x:v>
      </x:c>
      <x:c r="O116" s="46" t="str">
        <x:v>Historical transaction recovered during deep search; verify against MLS before publishing as authoritative.</x:v>
      </x:c>
      <x:c r="P116" t="str">
        <x:v>Recovered</x:v>
      </x:c>
      <x:c r="Q116" t="str">
        <x:v>Unknown</x:v>
      </x:c>
      <x:c r="R116" s="70" t="str">
        <x:v>https://www.google.com/search?tbm=isch&amp;q=%2227344+Marigold+Ct%22+Hayward+CA+house</x:v>
      </x:c>
    </x:row>
    <x:row r="117">
      <x:c r="A117" s="33" t="n">
        <x:v>116</x:v>
      </x:c>
      <x:c r="B117" s="33" t="str">
        <x:v>Sold</x:v>
      </x:c>
      <x:c r="C117" s="46" t="str">
        <x:v>1151 Sherrie Ct</x:v>
      </x:c>
      <x:c r="D117" s="46" t="str">
        <x:v>Lathrop</x:v>
      </x:c>
      <x:c r="E117" s="46" t="str">
        <x:v>CA</x:v>
      </x:c>
      <x:c r="F117" s="46" t="str"/>
      <x:c r="G117" s="47" t="n">
        <x:v>255000</x:v>
      </x:c>
      <x:c r="H117" s="48"/>
      <x:c r="I117" s="49" t="n">
        <x:v>3</x:v>
      </x:c>
      <x:c r="J117" s="50" t="n">
        <x:v>2</x:v>
      </x:c>
      <x:c r="K117" s="51" t="n">
        <x:v>1147</x:v>
      </x:c>
      <x:c r="L117" s="46" t="str">
        <x:v>Buyer</x:v>
      </x:c>
      <x:c r="M117" s="46" t="str">
        <x:v>High - Homes.com property page</x:v>
      </x:c>
      <x:c r="N117" s="46" t="str">
        <x:v>https://www.homes.com/property/1151-sherrie-ct-lathrop-ca/q7bygs48cl5vl/</x:v>
      </x:c>
      <x:c r="O117" s="46" t="str">
        <x:v>2017 transaction; exact day not captured.</x:v>
      </x:c>
      <x:c r="P117" t="str">
        <x:v>High</x:v>
      </x:c>
      <x:c r="Q117" t="str">
        <x:v>Buyer</x:v>
      </x:c>
      <x:c r="R117" s="70" t="str">
        <x:v>https://www.google.com/search?tbm=isch&amp;q=%221151+Sherrie+Ct%22+Lathrop+CA+house</x:v>
      </x:c>
    </x:row>
    <x:row r="118">
      <x:c r="A118" s="33" t="n">
        <x:v>117</x:v>
      </x:c>
      <x:c r="B118" s="33" t="str">
        <x:v>Sold / recovered</x:v>
      </x:c>
      <x:c r="C118" s="46" t="str">
        <x:v>27561 Loyola Ave</x:v>
      </x:c>
      <x:c r="D118" s="46" t="str">
        <x:v>Hayward</x:v>
      </x:c>
      <x:c r="E118" s="46" t="str">
        <x:v>CA</x:v>
      </x:c>
      <x:c r="F118" s="46" t="str"/>
      <x:c r="G118" s="47" t="n">
        <x:v>240000</x:v>
      </x:c>
      <x:c r="H118" s="48"/>
      <x:c r="I118" s="49" t="n">
        <x:v>3</x:v>
      </x:c>
      <x:c r="J118" s="50" t="n">
        <x:v>2</x:v>
      </x:c>
      <x:c r="K118" s="51" t="n">
        <x:v>1128</x:v>
      </x:c>
      <x:c r="L118" s="46" t="str">
        <x:v>Unknown</x:v>
      </x:c>
      <x:c r="M118" s="46" t="str">
        <x:v>Recovered from indexed Redfin/property sources; exact row source not individually re-opened</x:v>
      </x:c>
      <x:c r="N118" s="46" t="str">
        <x:v>https://www.redfin.com/real-estate-agents/gurmeet-singh</x:v>
      </x:c>
      <x:c r="O118" s="46" t="str">
        <x:v>Historical transaction recovered during deep search; verify against MLS before publishing as authoritative.</x:v>
      </x:c>
      <x:c r="P118" t="str">
        <x:v>Recovered</x:v>
      </x:c>
      <x:c r="Q118" t="str">
        <x:v>Unknown</x:v>
      </x:c>
      <x:c r="R118" s="70" t="str">
        <x:v>https://www.google.com/search?tbm=isch&amp;q=%2227561+Loyola+Ave%22+Hayward+CA+house</x:v>
      </x:c>
    </x:row>
    <x:row r="119">
      <x:c r="A119" s="33" t="n">
        <x:v>118</x:v>
      </x:c>
      <x:c r="B119" s="33" t="str">
        <x:v>Sold / recovered</x:v>
      </x:c>
      <x:c r="C119" s="46" t="str">
        <x:v>33911 11th St</x:v>
      </x:c>
      <x:c r="D119" s="46" t="str">
        <x:v>Union City</x:v>
      </x:c>
      <x:c r="E119" s="46" t="str">
        <x:v>CA</x:v>
      </x:c>
      <x:c r="F119" s="46" t="str"/>
      <x:c r="G119" s="47" t="n">
        <x:v>210000</x:v>
      </x:c>
      <x:c r="H119" s="48"/>
      <x:c r="I119" s="49" t="n">
        <x:v>3</x:v>
      </x:c>
      <x:c r="J119" s="50" t="n">
        <x:v>2</x:v>
      </x:c>
      <x:c r="K119" s="51" t="n">
        <x:v>1512</x:v>
      </x:c>
      <x:c r="L119" s="46" t="str">
        <x:v>Unknown</x:v>
      </x:c>
      <x:c r="M119" s="46" t="str">
        <x:v>Recovered from indexed Redfin/property sources; exact row source not individually re-opened</x:v>
      </x:c>
      <x:c r="N119" s="46" t="str">
        <x:v>https://www.redfin.com/real-estate-agents/gurmeet-singh</x:v>
      </x:c>
      <x:c r="O119" s="46" t="str">
        <x:v>Historical transaction recovered during deep search; verify against MLS before publishing as authoritative.</x:v>
      </x:c>
      <x:c r="P119" t="str">
        <x:v>Recovered</x:v>
      </x:c>
      <x:c r="Q119" t="str">
        <x:v>Unknown</x:v>
      </x:c>
      <x:c r="R119" s="70" t="str">
        <x:v>https://www.google.com/search?tbm=isch&amp;q=%2233911+11th+St%22+Union+City+CA+house</x:v>
      </x:c>
    </x:row>
    <x:row r="120">
      <x:c r="A120" s="33" t="n">
        <x:v>119</x:v>
      </x:c>
      <x:c r="B120" s="33" t="str">
        <x:v>Sold / recovered</x:v>
      </x:c>
      <x:c r="C120" s="46" t="str">
        <x:v>34764 Skylark Dr #4</x:v>
      </x:c>
      <x:c r="D120" s="46" t="str">
        <x:v>Union City</x:v>
      </x:c>
      <x:c r="E120" s="46" t="str">
        <x:v>CA</x:v>
      </x:c>
      <x:c r="F120" s="46" t="str"/>
      <x:c r="G120" s="47" t="n">
        <x:v>200000</x:v>
      </x:c>
      <x:c r="H120" s="48"/>
      <x:c r="I120" s="49" t="n">
        <x:v>2</x:v>
      </x:c>
      <x:c r="J120" s="50" t="n">
        <x:v>1</x:v>
      </x:c>
      <x:c r="K120" s="51" t="n">
        <x:v>798</x:v>
      </x:c>
      <x:c r="L120" s="46" t="str">
        <x:v>Unknown</x:v>
      </x:c>
      <x:c r="M120" s="46" t="str">
        <x:v>Recovered from indexed Redfin/property sources; exact row source not individually re-opened</x:v>
      </x:c>
      <x:c r="N120" s="46" t="str">
        <x:v>https://www.redfin.com/real-estate-agents/gurmeet-singh</x:v>
      </x:c>
      <x:c r="O120" s="46" t="str">
        <x:v>Historical transaction recovered during deep search; verify against MLS before publishing as authoritative.</x:v>
      </x:c>
      <x:c r="P120" t="str">
        <x:v>Recovered</x:v>
      </x:c>
      <x:c r="Q120" t="str">
        <x:v>Unknown</x:v>
      </x:c>
      <x:c r="R120" s="70" t="str">
        <x:v>https://www.google.com/search?tbm=isch&amp;q=%2234764+Skylark+Dr+%234%22+Union+City+CA+house</x:v>
      </x:c>
    </x:row>
    <x:row r="121">
      <x:c r="A121" s="33" t="n">
        <x:v>120</x:v>
      </x:c>
      <x:c r="B121" s="33" t="str">
        <x:v>Sold / recovered</x:v>
      </x:c>
      <x:c r="C121" s="46" t="str">
        <x:v>1021 Evans Ct</x:v>
      </x:c>
      <x:c r="D121" s="46" t="str">
        <x:v>Hayward</x:v>
      </x:c>
      <x:c r="E121" s="46" t="str">
        <x:v>CA</x:v>
      </x:c>
      <x:c r="F121" s="46" t="str"/>
      <x:c r="G121" s="47" t="n">
        <x:v>144699</x:v>
      </x:c>
      <x:c r="H121" s="48"/>
      <x:c r="I121" s="49" t="n">
        <x:v>3</x:v>
      </x:c>
      <x:c r="J121" s="50" t="n">
        <x:v>2.5</x:v>
      </x:c>
      <x:c r="K121" s="51" t="n">
        <x:v>1219</x:v>
      </x:c>
      <x:c r="L121" s="46" t="str">
        <x:v>Unknown</x:v>
      </x:c>
      <x:c r="M121" s="46" t="str">
        <x:v>Recovered from indexed Redfin/property sources; exact row source not individually re-opened</x:v>
      </x:c>
      <x:c r="N121" s="46" t="str">
        <x:v>https://www.redfin.com/real-estate-agents/gurmeet-singh</x:v>
      </x:c>
      <x:c r="O121" s="46" t="str">
        <x:v>Historical transaction recovered during deep search; verify against MLS before publishing as authoritative.</x:v>
      </x:c>
      <x:c r="P121" t="str">
        <x:v>Recovered</x:v>
      </x:c>
      <x:c r="Q121" t="str">
        <x:v>Unknown</x:v>
      </x:c>
      <x:c r="R121" s="70" t="str">
        <x:v>https://www.google.com/search?tbm=isch&amp;q=%221021+Evans+Ct%22+Hayward+CA+house</x:v>
      </x:c>
    </x:row>
    <x:row r="122">
      <x:c r="A122" s="33" t="n">
        <x:v>121</x:v>
      </x:c>
      <x:c r="B122" s="33" t="str">
        <x:v>Sold / recovered</x:v>
      </x:c>
      <x:c r="C122" s="46" t="str">
        <x:v>21564 Meekland Ave #6</x:v>
      </x:c>
      <x:c r="D122" s="46" t="str">
        <x:v>Cherryland</x:v>
      </x:c>
      <x:c r="E122" s="46" t="str">
        <x:v>CA</x:v>
      </x:c>
      <x:c r="F122" s="46" t="str"/>
      <x:c r="G122" s="47" t="n">
        <x:v>130000</x:v>
      </x:c>
      <x:c r="H122" s="48"/>
      <x:c r="I122" s="49" t="n">
        <x:v>2</x:v>
      </x:c>
      <x:c r="J122" s="50" t="n">
        <x:v>1.5</x:v>
      </x:c>
      <x:c r="K122" s="51" t="n">
        <x:v>952</x:v>
      </x:c>
      <x:c r="L122" s="46" t="str">
        <x:v>Unknown</x:v>
      </x:c>
      <x:c r="M122" s="46" t="str">
        <x:v>Recovered from indexed Redfin/property sources; exact row source not individually re-opened</x:v>
      </x:c>
      <x:c r="N122" s="46" t="str">
        <x:v>https://www.redfin.com/real-estate-agents/gurmeet-singh</x:v>
      </x:c>
      <x:c r="O122" s="46" t="str">
        <x:v>Historical transaction recovered during deep search; verify against MLS before publishing as authoritative.</x:v>
      </x:c>
      <x:c r="P122" t="str">
        <x:v>Recovered</x:v>
      </x:c>
      <x:c r="Q122" t="str">
        <x:v>Unknown</x:v>
      </x:c>
      <x:c r="R122" s="70" t="str">
        <x:v>https://www.google.com/search?tbm=isch&amp;q=%2221564+Meekland+Ave+%236%22+Cherryland+CA+house</x:v>
      </x:c>
    </x:row>
    <x:row r="123">
      <x:c r="A123" s="33" t="n">
        <x:v>122</x:v>
      </x:c>
      <x:c r="B123" s="33" t="str">
        <x:v>Sold / recovered</x:v>
      </x:c>
      <x:c r="C123" s="46" t="str">
        <x:v>27505 Tampa Ave #14</x:v>
      </x:c>
      <x:c r="D123" s="46" t="str">
        <x:v>Hayward</x:v>
      </x:c>
      <x:c r="E123" s="46" t="str">
        <x:v>CA</x:v>
      </x:c>
      <x:c r="F123" s="46" t="str"/>
      <x:c r="G123" s="47" t="n">
        <x:v>91185</x:v>
      </x:c>
      <x:c r="H123" s="48"/>
      <x:c r="I123" s="49" t="n">
        <x:v>3</x:v>
      </x:c>
      <x:c r="J123" s="50" t="n">
        <x:v>1.5</x:v>
      </x:c>
      <x:c r="K123" s="51" t="n">
        <x:v>1240</x:v>
      </x:c>
      <x:c r="L123" s="46" t="str">
        <x:v>Unknown</x:v>
      </x:c>
      <x:c r="M123" s="46" t="str">
        <x:v>Recovered from indexed Redfin/property sources; exact row source not individually re-opened</x:v>
      </x:c>
      <x:c r="N123" s="46" t="str">
        <x:v>https://www.redfin.com/real-estate-agents/gurmeet-singh</x:v>
      </x:c>
      <x:c r="O123" s="46" t="str">
        <x:v>Historical transaction recovered during deep search; verify against MLS before publishing as authoritative.</x:v>
      </x:c>
      <x:c r="P123" t="str">
        <x:v>Recovered</x:v>
      </x:c>
      <x:c r="Q123" t="str">
        <x:v>Unknown</x:v>
      </x:c>
      <x:c r="R123" s="70" t="str">
        <x:v>https://www.google.com/search?tbm=isch&amp;q=%2227505+Tampa+Ave+%2314%22+Hayward+CA+house</x:v>
      </x:c>
    </x:row>
    <x:row r="124">
      <x:c r="A124" s="33" t="n">
        <x:v>123</x:v>
      </x:c>
      <x:c r="B124" s="33" t="str">
        <x:v>Sold</x:v>
      </x:c>
      <x:c r="C124" s="46" t="str">
        <x:v>34848 Starling Dr #2</x:v>
      </x:c>
      <x:c r="D124" s="46" t="str">
        <x:v>Union City</x:v>
      </x:c>
      <x:c r="E124" s="46" t="str">
        <x:v>CA</x:v>
      </x:c>
      <x:c r="F124" s="46" t="str">
        <x:v>94587</x:v>
      </x:c>
      <x:c r="G124" s="47"/>
      <x:c r="H124" s="48"/>
      <x:c r="I124" s="49"/>
      <x:c r="J124" s="50"/>
      <x:c r="K124" s="51"/>
      <x:c r="L124" s="46" t="str">
        <x:v>Seller / listing</x:v>
      </x:c>
      <x:c r="M124" s="46" t="str">
        <x:v>High - Compass property page</x:v>
      </x:c>
      <x:c r="N124" s="46" t="str">
        <x:v>https://www.compass.com/homedetails/34848-Starling-Dr-Unit-2-Union-City-CA-94587/1PVM2K_pid/</x:v>
      </x:c>
      <x:c r="O124" s="46" t="str">
        <x:v>2013 transaction; price/date not captured.</x:v>
      </x:c>
      <x:c r="P124" t="str">
        <x:v>High</x:v>
      </x:c>
      <x:c r="Q124" t="str">
        <x:v>Seller</x:v>
      </x:c>
      <x:c r="R124" s="70" t="str">
        <x:v>https://www.google.com/search?tbm=isch&amp;q=%2234848+Starling+Dr+%232%22+Union+City+CA+94587+house</x:v>
      </x:c>
    </x:row>
  </x:sheetData>
  <x:conditionalFormatting sqref="M2:M124">
    <x:cfRule type="expression" dxfId="0" priority="1">
      <x:formula>LEFT(M2,4)="High"</x:formula>
    </x:cfRule>
    <x:cfRule type="expression" dxfId="1" priority="2">
      <x:formula>LEFT(M2,9)="Recovered"</x:formula>
    </x:cfRule>
  </x:conditionalFormatting>
  <x:conditionalFormatting sqref="B2:B124">
    <x:cfRule type="expression" dxfId="2" priority="3">
      <x:formula>B2="Active listing"</x:formula>
    </x:cfRule>
  </x:conditionalFormatting>
  <x:conditionalFormatting sqref="P2:P124">
    <x:cfRule type="expression" dxfId="3" priority="4">
      <x:formula>P2="High"</x:formula>
    </x:cfRule>
    <x:cfRule type="expression" dxfId="4" priority="5">
      <x:formula>P2="Recovered"</x:formula>
    </x:cfRule>
  </x:conditionalFormatting>
  <x:dataValidations count="2">
    <x:dataValidation type="list" sqref="B2:B143">
      <x:formula1>"Active listing,Sold,Sold / recovered"</x:formula1>
    </x:dataValidation>
    <x:dataValidation type="list" sqref="L2:L143">
      <x:formula1>"Listing,Seller / listing,Seller / co-listing,Buyer,Both listing and buyer,Unknown"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0dacfb43b64e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8" hidden="0" customWidth="1"/>
    <x:col min="4" max="4" width="58" hidden="0" customWidth="1"/>
  </x:cols>
  <x:sheetData>
    <x:row r="1" ht="15" hidden="0" customHeight="1">
      <x:c r="A1" s="58" t="str">
        <x:v>Source</x:v>
      </x:c>
      <x:c r="B1" s="58" t="str">
        <x:v>URL</x:v>
      </x:c>
      <x:c r="C1" s="58" t="str">
        <x:v>What it contributes</x:v>
      </x:c>
      <x:c r="D1" s="58" t="str">
        <x:v>Caveat</x:v>
      </x:c>
    </x:row>
    <x:row r="2" ht="26.399999618530273" hidden="0" customHeight="1">
      <x:c r="A2" s="59" t="str">
        <x:v>Redfin agent profile</x:v>
      </x:c>
      <x:c r="B2" s="59" t="str">
        <x:v>https://www.redfin.com/real-estate-agents/gurmeet-singh</x:v>
      </x:c>
      <x:c r="C2" s="59" t="str">
        <x:v>Primary agent identity, DRE #01479256, 181 homes closed, sales volume, active listing and visible category totals.</x:v>
      </x:c>
      <x:c r="D2" s="59" t="str">
        <x:v>Dynamic transaction history is not fully exposed in static page output.</x:v>
      </x:c>
    </x:row>
    <x:row r="3" ht="26.399999618530273" hidden="0" customHeight="1">
      <x:c r="A3" s="59" t="str">
        <x:v>Zillow agent profile</x:v>
      </x:c>
      <x:c r="B3" s="59" t="str">
        <x:v>https://www.zillow.com/profile/Gurmeet%20Singh</x:v>
      </x:c>
      <x:c r="C3" s="59" t="str">
        <x:v>Independent profile reports 204 total sales and recent buyer/seller transactions.</x:v>
      </x:c>
      <x:c r="D3" s="59" t="str">
        <x:v>Shows only the most recent 100 sales/100 listings in property list.</x:v>
      </x:c>
    </x:row>
    <x:row r="4" ht="26.399999618530273" hidden="0" customHeight="1">
      <x:c r="A4" s="59" t="str">
        <x:v>Realtor.com agent profile</x:v>
      </x:c>
      <x:c r="B4" s="59" t="str">
        <x:v>https://www.realtor.com/realestateagents/56d64d26b5cc660100bd2576</x:v>
      </x:c>
      <x:c r="C4" s="59" t="str">
        <x:v>Recent 24-month transaction details including exact dates, prices, beds, baths and sqft.</x:v>
      </x:c>
      <x:c r="D4" s="59" t="str">
        <x:v>States it may not display all sold data and omits sold listings older than 24 months.</x:v>
      </x:c>
    </x:row>
    <x:row r="5" ht="15" hidden="0" customHeight="1">
      <x:c r="A5" s="59" t="str">
        <x:v>Homes.com agent profile</x:v>
      </x:c>
      <x:c r="B5" s="59" t="str">
        <x:v>https://www.homes.com/real-estate-agents/gurmeet-singh/lt3ywbd/</x:v>
      </x:c>
      <x:c r="C5" s="59" t="str">
        <x:v>Five-year production totals and several seller/buyer transaction details.</x:v>
      </x:c>
      <x:c r="D5" s="59" t="str">
        <x:v>Five-year view is not full career history.</x:v>
      </x:c>
    </x:row>
    <x:row r="6" ht="15" hidden="0" customHeight="1">
      <x:c r="A6" s="59"/>
      <x:c r="B6" s="59"/>
      <x:c r="C6" s="59"/>
      <x:c r="D6" s="59"/>
    </x:row>
    <x:row r="7" ht="15" hidden="0" customHeight="1">
      <x:c r="A7" s="58" t="str">
        <x:v>Research interpretation</x:v>
      </x:c>
      <x:c r="B7" s="58" t="str">
        <x:v>Value</x:v>
      </x:c>
      <x:c r="C7" s="58" t="str"/>
      <x:c r="D7" s="58" t="str"/>
    </x:row>
    <x:row r="8" ht="15" hidden="0" customHeight="1">
      <x:c r="A8" s="59" t="str">
        <x:v>Redfin identity</x:v>
      </x:c>
      <x:c r="B8" s="59" t="str">
        <x:v>Gurmeet Singh, License #01479256</x:v>
      </x:c>
      <x:c r="C8" s="59" t="str"/>
      <x:c r="D8" s="59" t="str"/>
    </x:row>
    <x:row r="9" ht="15" hidden="0" customHeight="1">
      <x:c r="A9" s="59" t="str">
        <x:v>Redfin totals</x:v>
      </x:c>
      <x:c r="B9" s="59" t="str">
        <x:v>181 total deals; $123M volume; $2.3M highest sale</x:v>
      </x:c>
      <x:c r="C9" s="59" t="str"/>
      <x:c r="D9" s="59" t="str"/>
    </x:row>
    <x:row r="10" ht="15" hidden="0" customHeight="1">
      <x:c r="A10" s="59" t="str">
        <x:v>Redfin categories</x:v>
      </x:c>
      <x:c r="B10" s="59" t="str">
        <x:v>51 sold with Gurmeet; 123 bought with Gurmeet; 1 active listing</x:v>
      </x:c>
      <x:c r="C10" s="59" t="str"/>
      <x:c r="D10" s="59" t="str"/>
    </x:row>
    <x:row r="11" ht="15" hidden="0" customHeight="1">
      <x:c r="A11" s="59" t="str">
        <x:v>Zillow totals</x:v>
      </x:c>
      <x:c r="B11" s="59" t="str">
        <x:v>204 total sales; 1 active listing shown</x:v>
      </x:c>
      <x:c r="C11" s="59" t="str"/>
      <x:c r="D11" s="59" t="str"/>
    </x:row>
    <x:row r="12">
      <x:c r="A12" s="59" t="str">
        <x:v>House image links</x:v>
      </x:c>
      <x:c r="B12" s="59" t="str">
        <x:v>Exact-address Google Images search URLs</x:v>
      </x:c>
      <x:c r="C12" s="59" t="str">
        <x:v>Each transaction now has an address-specific image search URL for locating house photos.</x:v>
      </x:c>
      <x:c r="D12" s="59" t="str">
        <x:v>Direct listing-photo CDN URLs are intentionally avoided because they can expire or change.</x:v>
      </x:c>
    </x:row>
  </x:sheetData>
  <x:pageMargins left="0.7" right="0.7" top="0.75" bottom="0.75" header="0.3" footer="0.3"/>
</x:worksheet>
</file>