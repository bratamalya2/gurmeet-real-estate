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Sources &amp; Notes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$#,##0"/>
    <numFmt numFmtId="165" formatCode="mm/dd/yyyy"/>
    <numFmt numFmtId="166" formatCode="0.0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F1F1F"/>
      <sz val="11"/>
    </font>
    <font>
      <name val="Carlito"/>
      <b val="1"/>
      <color rgb="FFFFFFFF"/>
      <sz val="11"/>
    </font>
    <font>
      <name val="Carlito"/>
      <color rgb="FF0563C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7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0" fontId="3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3" fontId="0" fillId="0" borderId="0" pivotButton="0" quotePrefix="0" xfId="0"/>
    <xf numFmtId="1" fontId="0" fillId="0" borderId="0" pivotButton="0" quotePrefix="0" xfId="0"/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DEBF7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GurmeetTransactions" displayName="GurmeetTransactions" ref="A1:O124" headerRowCount="1" totalsRowCount="0" totalsRowShown="0">
  <tableColumns count="15">
    <tableColumn id="1" name="ID"/>
    <tableColumn id="2" name="Status"/>
    <tableColumn id="3" name="Address"/>
    <tableColumn id="4" name="City"/>
    <tableColumn id="5" name="State"/>
    <tableColumn id="6" name="ZIP"/>
    <tableColumn id="7" name="Price"/>
    <tableColumn id="8" name="Sold Date"/>
    <tableColumn id="9" name="Beds"/>
    <tableColumn id="10" name="Baths"/>
    <tableColumn id="11" name="Sq Ft"/>
    <tableColumn id="12" name="Side"/>
    <tableColumn id="13" name="Verification"/>
    <tableColumn id="14" name="Primary Source URL"/>
    <tableColumn id="1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style="62" min="1" max="1"/>
    <col width="18" customWidth="1" style="62" min="2" max="2"/>
    <col width="20" customWidth="1" style="62" min="4" max="4"/>
    <col width="70" customWidth="1" style="62" min="5" max="5"/>
  </cols>
  <sheetData>
    <row r="1" ht="19.20000076293945" customHeight="1" s="62">
      <c r="A1" s="9" t="inlineStr">
        <is>
          <t>Gurmeet Singh — Listings &amp; Transaction Research</t>
        </is>
      </c>
      <c r="B1" s="1" t="n"/>
      <c r="C1" s="1" t="n"/>
      <c r="D1" s="1" t="n"/>
      <c r="E1" s="1" t="n"/>
      <c r="F1" s="1" t="n"/>
      <c r="G1" s="1" t="n"/>
      <c r="H1" s="1" t="n"/>
    </row>
    <row r="2" ht="15" customHeight="1" s="62">
      <c r="A2" s="15" t="inlineStr">
        <is>
          <t>CA DRE #01479256 | Deep-search workbook | Updated 2026-08-15</t>
        </is>
      </c>
      <c r="B2" s="1" t="n"/>
      <c r="C2" s="1" t="n"/>
      <c r="D2" s="1" t="n"/>
      <c r="E2" s="1" t="n"/>
      <c r="F2" s="1" t="n"/>
      <c r="G2" s="1" t="n"/>
      <c r="H2" s="1" t="n"/>
    </row>
    <row r="4" ht="15" customHeight="1" s="62">
      <c r="A4" s="18" t="inlineStr">
        <is>
          <t>Metric</t>
        </is>
      </c>
      <c r="B4" s="18" t="inlineStr">
        <is>
          <t>Value</t>
        </is>
      </c>
      <c r="D4" s="58" t="inlineStr">
        <is>
          <t>Workbook Notes</t>
        </is>
      </c>
      <c r="E4" s="58" t="str"/>
    </row>
    <row r="5" ht="15" customHeight="1" s="62">
      <c r="A5" t="inlineStr">
        <is>
          <t>Redfin total deals shown</t>
        </is>
      </c>
      <c r="B5" s="71" t="n">
        <v>181</v>
      </c>
      <c r="D5" s="59" t="inlineStr">
        <is>
          <t>Purpose</t>
        </is>
      </c>
      <c r="E5" s="59" t="inlineStr">
        <is>
          <t>Consolidated research dataset for website/database preparation.</t>
        </is>
      </c>
    </row>
    <row r="6" ht="26.39999961853027" customHeight="1" s="62">
      <c r="A6" t="inlineStr">
        <is>
          <t>Redfin sold with Gurmeet</t>
        </is>
      </c>
      <c r="B6" s="71" t="n">
        <v>51</v>
      </c>
      <c r="D6" s="59" t="inlineStr">
        <is>
          <t>Coverage</t>
        </is>
      </c>
      <c r="E6" s="59" t="inlineStr">
        <is>
          <t>Includes active listing + recovered historical transactions found through Redfin and corroborating property/agent pages.</t>
        </is>
      </c>
    </row>
    <row r="7" ht="15" customHeight="1" s="62">
      <c r="A7" t="inlineStr">
        <is>
          <t>Redfin bought with Gurmeet</t>
        </is>
      </c>
      <c r="B7" s="71" t="n">
        <v>123</v>
      </c>
      <c r="D7" s="59" t="inlineStr">
        <is>
          <t>Important</t>
        </is>
      </c>
      <c r="E7" s="59" t="inlineStr">
        <is>
          <t>Redfin's public profile does not expose all 181 transaction cards in static HTML.</t>
        </is>
      </c>
    </row>
    <row r="8" ht="26.39999961853027" customHeight="1" s="62">
      <c r="A8" t="inlineStr">
        <is>
          <t>Zillow total sales shown</t>
        </is>
      </c>
      <c r="B8" s="71" t="n">
        <v>204</v>
      </c>
      <c r="D8" s="59" t="inlineStr">
        <is>
          <t>Confidence</t>
        </is>
      </c>
      <c r="E8" s="59" t="inlineStr">
        <is>
          <t>Filter the Verification column. High-confidence rows were re-opened or corroborated; recovered rows need MLS verification before authoritative publication.</t>
        </is>
      </c>
    </row>
    <row r="9" ht="26.39999961853027" customHeight="1" s="62">
      <c r="A9" t="inlineStr">
        <is>
          <t>Recovered unique properties in this workbook</t>
        </is>
      </c>
      <c r="B9" s="71" t="n">
        <v>123</v>
      </c>
      <c r="D9" s="59" t="inlineStr">
        <is>
          <t>Counts mismatch</t>
        </is>
      </c>
      <c r="E9" s="59" t="inlineStr">
        <is>
          <t>Redfin shows 181 total deals while visible category counts sum differently; Zillow currently reports 204 sold transactions.</t>
        </is>
      </c>
    </row>
    <row r="10" ht="15" customHeight="1" s="62">
      <c r="A10" t="inlineStr">
        <is>
          <t>High-confidence rows</t>
        </is>
      </c>
      <c r="B10" s="71">
        <f>COUNTIF(Transactions!P2:P124,"High")</f>
        <v/>
      </c>
      <c r="D10" s="59" t="inlineStr">
        <is>
          <t>Use</t>
        </is>
      </c>
      <c r="E10" s="59" t="inlineStr">
        <is>
          <t>Suitable as a working research sheet, not a substitute for licensed MLS/IDX data.</t>
        </is>
      </c>
    </row>
    <row r="12" ht="15" customHeight="1" s="62">
      <c r="A12" s="18" t="inlineStr">
        <is>
          <t>Working Dataset Summary</t>
        </is>
      </c>
      <c r="B12" s="18" t="str"/>
    </row>
    <row r="13" ht="15" customHeight="1" s="62">
      <c r="A13" t="inlineStr">
        <is>
          <t>Active listings</t>
        </is>
      </c>
      <c r="B13" s="72">
        <f>COUNTIF(Transactions!B2:B124,"Active listing")</f>
        <v/>
      </c>
    </row>
    <row r="14" ht="15" customHeight="1" s="62">
      <c r="A14" t="inlineStr">
        <is>
          <t>Sold / recovered rows</t>
        </is>
      </c>
      <c r="B14" s="72">
        <f>COUNTIF(Transactions!B2:B124,"Sold")+COUNTIF(Transactions!B2:B124,"Sold / recovered")</f>
        <v/>
      </c>
    </row>
    <row r="15" ht="15" customHeight="1" s="62">
      <c r="A15" t="inlineStr">
        <is>
          <t>Buyer-side identified</t>
        </is>
      </c>
      <c r="B15" s="72">
        <f>COUNTIF(Transactions!Q2:Q124,"Buyer")</f>
        <v/>
      </c>
    </row>
    <row r="16" ht="15" customHeight="1" s="62">
      <c r="A16" t="inlineStr">
        <is>
          <t>Seller-side identified</t>
        </is>
      </c>
      <c r="B16" s="72">
        <f>COUNTIF(Transactions!Q2:Q124,"Seller")</f>
        <v/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cols>
    <col width="7" customWidth="1" style="62" min="1" max="1"/>
    <col width="16" customWidth="1" style="62" min="2" max="2"/>
    <col width="30" customWidth="1" style="62" min="3" max="3"/>
    <col width="18" customWidth="1" style="62" min="4" max="4"/>
    <col width="8" customWidth="1" style="62" min="5" max="5"/>
    <col width="10" customWidth="1" style="62" min="6" max="6"/>
    <col width="14" customWidth="1" style="62" min="7" max="7"/>
    <col width="13" customWidth="1" style="62" min="8" max="8"/>
    <col width="8" customWidth="1" style="62" min="9" max="9"/>
    <col width="8" customWidth="1" style="62" min="10" max="10"/>
    <col width="10" customWidth="1" style="62" min="11" max="11"/>
    <col width="22" customWidth="1" style="62" min="12" max="12"/>
    <col width="28" customWidth="1" style="62" min="13" max="13"/>
    <col width="46" customWidth="1" style="62" min="14" max="14"/>
    <col width="42" customWidth="1" style="62" min="15" max="15"/>
    <col width="17" customWidth="1" style="62" min="16" max="16"/>
    <col width="12" customWidth="1" style="62" min="17" max="17"/>
    <col width="42" customWidth="1" style="62" min="18" max="18"/>
  </cols>
  <sheetData>
    <row r="1" ht="15" customHeight="1" s="62">
      <c r="A1" s="32" t="inlineStr">
        <is>
          <t>ID</t>
        </is>
      </c>
      <c r="B1" s="32" t="inlineStr">
        <is>
          <t>Status</t>
        </is>
      </c>
      <c r="C1" s="32" t="inlineStr">
        <is>
          <t>Address</t>
        </is>
      </c>
      <c r="D1" s="32" t="inlineStr">
        <is>
          <t>City</t>
        </is>
      </c>
      <c r="E1" s="32" t="inlineStr">
        <is>
          <t>State</t>
        </is>
      </c>
      <c r="F1" s="32" t="inlineStr">
        <is>
          <t>ZIP</t>
        </is>
      </c>
      <c r="G1" s="32" t="inlineStr">
        <is>
          <t>Price</t>
        </is>
      </c>
      <c r="H1" s="32" t="inlineStr">
        <is>
          <t>Sold Date</t>
        </is>
      </c>
      <c r="I1" s="32" t="inlineStr">
        <is>
          <t>Beds</t>
        </is>
      </c>
      <c r="J1" s="32" t="inlineStr">
        <is>
          <t>Baths</t>
        </is>
      </c>
      <c r="K1" s="32" t="inlineStr">
        <is>
          <t>Sq Ft</t>
        </is>
      </c>
      <c r="L1" s="32" t="inlineStr">
        <is>
          <t>Side</t>
        </is>
      </c>
      <c r="M1" s="32" t="inlineStr">
        <is>
          <t>Verification</t>
        </is>
      </c>
      <c r="N1" s="32" t="inlineStr">
        <is>
          <t>Primary Source URL</t>
        </is>
      </c>
      <c r="O1" s="32" t="inlineStr">
        <is>
          <t>Notes</t>
        </is>
      </c>
      <c r="P1" s="18" t="inlineStr">
        <is>
          <t>Confidence Level</t>
        </is>
      </c>
      <c r="Q1" s="18" t="inlineStr">
        <is>
          <t>Side Group</t>
        </is>
      </c>
      <c r="R1" s="67" t="inlineStr">
        <is>
          <t>House Image Search URL</t>
        </is>
      </c>
      <c r="S1" t="inlineStr">
        <is>
          <t>Actual Image URL</t>
        </is>
      </c>
    </row>
    <row r="2" ht="26.39999961853027" customHeight="1" s="62">
      <c r="A2" s="33" t="n">
        <v>1</v>
      </c>
      <c r="B2" s="33" t="inlineStr">
        <is>
          <t>Active listing</t>
        </is>
      </c>
      <c r="C2" s="46" t="inlineStr">
        <is>
          <t>1449 Dorona Ln</t>
        </is>
      </c>
      <c r="D2" s="46" t="inlineStr">
        <is>
          <t>Manteca</t>
        </is>
      </c>
      <c r="E2" s="46" t="inlineStr">
        <is>
          <t>CA</t>
        </is>
      </c>
      <c r="F2" s="46" t="inlineStr">
        <is>
          <t>95336</t>
        </is>
      </c>
      <c r="G2" s="73" t="n">
        <v>630000</v>
      </c>
      <c r="H2" s="74" t="n"/>
      <c r="I2" s="75" t="n">
        <v>4</v>
      </c>
      <c r="J2" s="76" t="n">
        <v>2.5</v>
      </c>
      <c r="K2" s="77" t="n">
        <v>1811</v>
      </c>
      <c r="L2" s="46" t="inlineStr">
        <is>
          <t>Listing</t>
        </is>
      </c>
      <c r="M2" s="46" t="inlineStr">
        <is>
          <t>High - current Redfin/Realtor.com profile</t>
        </is>
      </c>
      <c r="N2" s="46" t="inlineStr">
        <is>
          <t>https://www.redfin.com/real-estate-agents/gurmeet-singh</t>
        </is>
      </c>
      <c r="O2" s="46" t="inlineStr">
        <is>
          <t>Current active listing as of 2026-08-15.</t>
        </is>
      </c>
      <c r="P2" t="inlineStr">
        <is>
          <t>High</t>
        </is>
      </c>
      <c r="Q2" t="inlineStr">
        <is>
          <t>Listing</t>
        </is>
      </c>
      <c r="R2" s="70" t="inlineStr">
        <is>
          <t>https://www.google.com/search?tbm=isch&amp;q=%221449+Dorona+Ln%22+Manteca+CA+95336+house</t>
        </is>
      </c>
    </row>
    <row r="3" ht="26.39999961853027" customHeight="1" s="62">
      <c r="A3" s="33" t="n">
        <v>2</v>
      </c>
      <c r="B3" s="33" t="inlineStr">
        <is>
          <t>Sold</t>
        </is>
      </c>
      <c r="C3" s="46" t="inlineStr">
        <is>
          <t>24815 Townsend Ave</t>
        </is>
      </c>
      <c r="D3" s="46" t="inlineStr">
        <is>
          <t>Hayward</t>
        </is>
      </c>
      <c r="E3" s="46" t="inlineStr">
        <is>
          <t>CA</t>
        </is>
      </c>
      <c r="F3" s="46" t="inlineStr">
        <is>
          <t>94544</t>
        </is>
      </c>
      <c r="G3" s="73" t="n">
        <v>870000</v>
      </c>
      <c r="H3" s="74" t="n">
        <v>46189</v>
      </c>
      <c r="I3" s="75" t="n">
        <v>3</v>
      </c>
      <c r="J3" s="76" t="n">
        <v>2</v>
      </c>
      <c r="K3" s="77" t="n">
        <v>1186</v>
      </c>
      <c r="L3" s="46" t="inlineStr">
        <is>
          <t>Seller / co-listing</t>
        </is>
      </c>
      <c r="M3" s="46" t="inlineStr">
        <is>
          <t>High - Realtor.com + Homes.com</t>
        </is>
      </c>
      <c r="N3" s="46" t="inlineStr">
        <is>
          <t>https://www.realtor.com/realestateagents/56d64d26b5cc660100bd2576</t>
        </is>
      </c>
      <c r="O3" s="46" t="inlineStr">
        <is>
          <t>Recent activity tied to DRE #01479256.</t>
        </is>
      </c>
      <c r="P3" t="inlineStr">
        <is>
          <t>High</t>
        </is>
      </c>
      <c r="Q3" t="inlineStr">
        <is>
          <t>Seller</t>
        </is>
      </c>
      <c r="R3" s="70" t="inlineStr">
        <is>
          <t>https://www.google.com/search?tbm=isch&amp;q=%2224815+Townsend+Ave%22+Hayward+CA+94544+house</t>
        </is>
      </c>
    </row>
    <row r="4" ht="26.39999961853027" customHeight="1" s="62">
      <c r="A4" s="33" t="n">
        <v>3</v>
      </c>
      <c r="B4" s="33" t="inlineStr">
        <is>
          <t>Sold</t>
        </is>
      </c>
      <c r="C4" s="46" t="inlineStr">
        <is>
          <t>3586 Somerset Ave</t>
        </is>
      </c>
      <c r="D4" s="46" t="inlineStr">
        <is>
          <t>Castro Valley</t>
        </is>
      </c>
      <c r="E4" s="46" t="inlineStr">
        <is>
          <t>CA</t>
        </is>
      </c>
      <c r="F4" s="46" t="inlineStr">
        <is>
          <t>94546</t>
        </is>
      </c>
      <c r="G4" s="73" t="n">
        <v>949000</v>
      </c>
      <c r="H4" s="74" t="n">
        <v>46171</v>
      </c>
      <c r="I4" s="75" t="n">
        <v>2</v>
      </c>
      <c r="J4" s="76" t="n">
        <v>1</v>
      </c>
      <c r="K4" s="77" t="n">
        <v>1916</v>
      </c>
      <c r="L4" s="46" t="inlineStr">
        <is>
          <t>Buyer</t>
        </is>
      </c>
      <c r="M4" s="46" t="inlineStr">
        <is>
          <t>High - Zillow + Realtor.com + Redfin review</t>
        </is>
      </c>
      <c r="N4" s="46" t="inlineStr">
        <is>
          <t>https://www.realtor.com/realestateagents/56d64d26b5cc660100bd2576</t>
        </is>
      </c>
      <c r="O4" s="46" t="inlineStr">
        <is>
          <t>Zillow also shows Buyer.</t>
        </is>
      </c>
      <c r="P4" t="inlineStr">
        <is>
          <t>High</t>
        </is>
      </c>
      <c r="Q4" t="inlineStr">
        <is>
          <t>Buyer</t>
        </is>
      </c>
      <c r="R4" s="70" t="inlineStr">
        <is>
          <t>https://www.google.com/search?tbm=isch&amp;q=%223586+Somerset+Ave%22+Castro+Valley+CA+94546+house</t>
        </is>
      </c>
    </row>
    <row r="5" ht="26.39999961853027" customHeight="1" s="62">
      <c r="A5" s="33" t="n">
        <v>4</v>
      </c>
      <c r="B5" s="33" t="inlineStr">
        <is>
          <t>Sold</t>
        </is>
      </c>
      <c r="C5" s="46" t="inlineStr">
        <is>
          <t>39843 Cedar Blvd #219</t>
        </is>
      </c>
      <c r="D5" s="46" t="inlineStr">
        <is>
          <t>Newark</t>
        </is>
      </c>
      <c r="E5" s="46" t="inlineStr">
        <is>
          <t>CA</t>
        </is>
      </c>
      <c r="F5" s="46" t="inlineStr">
        <is>
          <t>94560</t>
        </is>
      </c>
      <c r="G5" s="73" t="n">
        <v>500000</v>
      </c>
      <c r="H5" s="74" t="n">
        <v>46140</v>
      </c>
      <c r="I5" s="75" t="n">
        <v>2</v>
      </c>
      <c r="J5" s="76" t="n">
        <v>2</v>
      </c>
      <c r="K5" s="77" t="n">
        <v>1071</v>
      </c>
      <c r="L5" s="46" t="inlineStr">
        <is>
          <t>Buyer</t>
        </is>
      </c>
      <c r="M5" s="46" t="inlineStr">
        <is>
          <t>High - Zillow + Realtor.com + Homes.com</t>
        </is>
      </c>
      <c r="N5" s="46" t="inlineStr">
        <is>
          <t>https://www.realtor.com/realestateagents/56d64d26b5cc660100bd2576</t>
        </is>
      </c>
      <c r="O5" s="46" t="inlineStr">
        <is>
          <t>Address appears as Unit 219 on Realtor.com.</t>
        </is>
      </c>
      <c r="P5" t="inlineStr">
        <is>
          <t>High</t>
        </is>
      </c>
      <c r="Q5" t="inlineStr">
        <is>
          <t>Buyer</t>
        </is>
      </c>
      <c r="R5" s="70" t="inlineStr">
        <is>
          <t>https://www.google.com/search?tbm=isch&amp;q=%2239843+Cedar+Blvd+%23219%22+Newark+CA+94560+house</t>
        </is>
      </c>
    </row>
    <row r="6" ht="26.39999961853027" customHeight="1" s="62">
      <c r="A6" s="33" t="n">
        <v>5</v>
      </c>
      <c r="B6" s="33" t="inlineStr">
        <is>
          <t>Sold</t>
        </is>
      </c>
      <c r="C6" s="46" t="inlineStr">
        <is>
          <t>35795 Cabral Dr</t>
        </is>
      </c>
      <c r="D6" s="46" t="inlineStr">
        <is>
          <t>Fremont</t>
        </is>
      </c>
      <c r="E6" s="46" t="inlineStr">
        <is>
          <t>CA</t>
        </is>
      </c>
      <c r="F6" s="46" t="inlineStr">
        <is>
          <t>94536</t>
        </is>
      </c>
      <c r="G6" s="73" t="n">
        <v>1052000</v>
      </c>
      <c r="H6" s="74" t="n">
        <v>46133</v>
      </c>
      <c r="I6" s="75" t="n">
        <v>3</v>
      </c>
      <c r="J6" s="76" t="n">
        <v>2</v>
      </c>
      <c r="K6" s="77" t="n">
        <v>1150</v>
      </c>
      <c r="L6" s="46" t="inlineStr">
        <is>
          <t>Buyer</t>
        </is>
      </c>
      <c r="M6" s="46" t="inlineStr">
        <is>
          <t>High - Zillow + Realtor.com</t>
        </is>
      </c>
      <c r="N6" s="46" t="inlineStr">
        <is>
          <t>https://www.realtor.com/realestateagents/56d64d26b5cc660100bd2576</t>
        </is>
      </c>
      <c r="O6" s="46" t="inlineStr">
        <is>
          <t>Recent sale.</t>
        </is>
      </c>
      <c r="P6" t="inlineStr">
        <is>
          <t>High</t>
        </is>
      </c>
      <c r="Q6" t="inlineStr">
        <is>
          <t>Buyer</t>
        </is>
      </c>
      <c r="R6" s="70" t="inlineStr">
        <is>
          <t>https://www.google.com/search?tbm=isch&amp;q=%2235795+Cabral+Dr%22+Fremont+CA+94536+house</t>
        </is>
      </c>
    </row>
    <row r="7" ht="26.39999961853027" customHeight="1" s="62">
      <c r="A7" s="33" t="n">
        <v>6</v>
      </c>
      <c r="B7" s="33" t="inlineStr">
        <is>
          <t>Sold</t>
        </is>
      </c>
      <c r="C7" s="46" t="inlineStr">
        <is>
          <t>14539 Cedar Valley Dr</t>
        </is>
      </c>
      <c r="D7" s="46" t="inlineStr">
        <is>
          <t>Lathrop</t>
        </is>
      </c>
      <c r="E7" s="46" t="inlineStr">
        <is>
          <t>CA</t>
        </is>
      </c>
      <c r="F7" s="46" t="inlineStr">
        <is>
          <t>95330</t>
        </is>
      </c>
      <c r="G7" s="73" t="n">
        <v>450000</v>
      </c>
      <c r="H7" s="74" t="n">
        <v>46076</v>
      </c>
      <c r="I7" s="75" t="n">
        <v>3</v>
      </c>
      <c r="J7" s="76" t="n">
        <v>2</v>
      </c>
      <c r="K7" s="77" t="n">
        <v>1383</v>
      </c>
      <c r="L7" s="46" t="inlineStr">
        <is>
          <t>Seller / listing</t>
        </is>
      </c>
      <c r="M7" s="46" t="inlineStr">
        <is>
          <t>High - Zillow + Realtor.com + Homes.com</t>
        </is>
      </c>
      <c r="N7" s="46" t="inlineStr">
        <is>
          <t>https://www.homes.com/real-estate-agents/gurmeet-singh/lt3ywbd/</t>
        </is>
      </c>
      <c r="O7" s="46" t="inlineStr">
        <is>
          <t>Homes.com identifies Gurmeet as listing agent.</t>
        </is>
      </c>
      <c r="P7" t="inlineStr">
        <is>
          <t>High</t>
        </is>
      </c>
      <c r="Q7" t="inlineStr">
        <is>
          <t>Seller</t>
        </is>
      </c>
      <c r="R7" s="70" t="inlineStr">
        <is>
          <t>https://www.google.com/search?tbm=isch&amp;q=%2214539+Cedar+Valley+Dr%22+Lathrop+CA+95330+house</t>
        </is>
      </c>
    </row>
    <row r="8" ht="26.39999961853027" customHeight="1" s="62">
      <c r="A8" s="33" t="n">
        <v>7</v>
      </c>
      <c r="B8" s="33" t="inlineStr">
        <is>
          <t>Sold</t>
        </is>
      </c>
      <c r="C8" s="46" t="inlineStr">
        <is>
          <t>2389 Northington Dr</t>
        </is>
      </c>
      <c r="D8" s="46" t="inlineStr">
        <is>
          <t>Tracy</t>
        </is>
      </c>
      <c r="E8" s="46" t="inlineStr">
        <is>
          <t>CA</t>
        </is>
      </c>
      <c r="F8" s="46" t="inlineStr">
        <is>
          <t>95377</t>
        </is>
      </c>
      <c r="G8" s="73" t="n">
        <v>890000</v>
      </c>
      <c r="H8" s="74" t="n">
        <v>46002</v>
      </c>
      <c r="I8" s="75" t="n">
        <v>4</v>
      </c>
      <c r="J8" s="76" t="n">
        <v>3.5</v>
      </c>
      <c r="K8" s="77" t="n">
        <v>3514</v>
      </c>
      <c r="L8" s="46" t="inlineStr">
        <is>
          <t>Both listing and buyer</t>
        </is>
      </c>
      <c r="M8" s="46" t="inlineStr">
        <is>
          <t>High - Realtor.com + Homes.com + Redfin property page</t>
        </is>
      </c>
      <c r="N8" s="46" t="inlineStr">
        <is>
          <t>https://www.realtor.com/realestateagents/56d64d26b5cc660100bd2576</t>
        </is>
      </c>
      <c r="O8" s="46" t="inlineStr">
        <is>
          <t>Both sides attributed to Gurmeet in deeper verification.</t>
        </is>
      </c>
      <c r="P8" t="inlineStr">
        <is>
          <t>High</t>
        </is>
      </c>
      <c r="Q8" t="inlineStr">
        <is>
          <t>Both</t>
        </is>
      </c>
      <c r="R8" s="70" t="inlineStr">
        <is>
          <t>https://www.google.com/search?tbm=isch&amp;q=%222389+Northington+Dr%22+Tracy+CA+95377+house</t>
        </is>
      </c>
    </row>
    <row r="9" ht="26.39999961853027" customHeight="1" s="62">
      <c r="A9" s="33" t="n">
        <v>8</v>
      </c>
      <c r="B9" s="33" t="inlineStr">
        <is>
          <t>Sold</t>
        </is>
      </c>
      <c r="C9" s="46" t="inlineStr">
        <is>
          <t>1995 Eleanor Loop</t>
        </is>
      </c>
      <c r="D9" s="46" t="inlineStr">
        <is>
          <t>Dublin</t>
        </is>
      </c>
      <c r="E9" s="46" t="inlineStr">
        <is>
          <t>CA</t>
        </is>
      </c>
      <c r="F9" s="46" t="inlineStr">
        <is>
          <t>94568</t>
        </is>
      </c>
      <c r="G9" s="73" t="n">
        <v>2267645</v>
      </c>
      <c r="H9" s="74" t="n">
        <v>45961</v>
      </c>
      <c r="I9" s="75" t="n">
        <v>4</v>
      </c>
      <c r="J9" s="76" t="n">
        <v>3</v>
      </c>
      <c r="K9" s="77" t="n">
        <v>2743</v>
      </c>
      <c r="L9" s="46" t="inlineStr">
        <is>
          <t>Buyer</t>
        </is>
      </c>
      <c r="M9" s="46" t="inlineStr">
        <is>
          <t>High - Realtor.com + Redfin property page</t>
        </is>
      </c>
      <c r="N9" s="46" t="inlineStr">
        <is>
          <t>https://www.realtor.com/realestateagents/56d64d26b5cc660100bd2576</t>
        </is>
      </c>
      <c r="O9" s="46" t="inlineStr">
        <is>
          <t>Realtor.com rounds to $2.27M.</t>
        </is>
      </c>
      <c r="P9" t="inlineStr">
        <is>
          <t>High</t>
        </is>
      </c>
      <c r="Q9" t="inlineStr">
        <is>
          <t>Buyer</t>
        </is>
      </c>
      <c r="R9" s="70" t="inlineStr">
        <is>
          <t>https://www.google.com/search?tbm=isch&amp;q=%221995+Eleanor+Loop%22+Dublin+CA+94568+house</t>
        </is>
      </c>
    </row>
    <row r="10" ht="26.39999961853027" customHeight="1" s="62">
      <c r="A10" s="33" t="n">
        <v>9</v>
      </c>
      <c r="B10" s="33" t="inlineStr">
        <is>
          <t>Sold</t>
        </is>
      </c>
      <c r="C10" s="46" t="inlineStr">
        <is>
          <t>2274 Peacock Pl #3</t>
        </is>
      </c>
      <c r="D10" s="46" t="inlineStr">
        <is>
          <t>Union City</t>
        </is>
      </c>
      <c r="E10" s="46" t="inlineStr">
        <is>
          <t>CA</t>
        </is>
      </c>
      <c r="F10" s="46" t="inlineStr">
        <is>
          <t>94587</t>
        </is>
      </c>
      <c r="G10" s="73" t="n">
        <v>486000</v>
      </c>
      <c r="H10" s="74" t="n">
        <v>45904</v>
      </c>
      <c r="I10" s="75" t="n">
        <v>2</v>
      </c>
      <c r="J10" s="76" t="n">
        <v>1</v>
      </c>
      <c r="K10" s="77" t="n">
        <v>903</v>
      </c>
      <c r="L10" s="46" t="inlineStr">
        <is>
          <t>Seller / listing</t>
        </is>
      </c>
      <c r="M10" s="46" t="inlineStr">
        <is>
          <t>High - Realtor.com + Homes.com + Redfin property page</t>
        </is>
      </c>
      <c r="N10" s="46" t="inlineStr">
        <is>
          <t>https://www.homes.com/real-estate-agents/gurmeet-singh/lt3ywbd/</t>
        </is>
      </c>
      <c r="O10" s="46" t="inlineStr">
        <is>
          <t>Realtor.com formats as Apt 3.</t>
        </is>
      </c>
      <c r="P10" t="inlineStr">
        <is>
          <t>High</t>
        </is>
      </c>
      <c r="Q10" t="inlineStr">
        <is>
          <t>Seller</t>
        </is>
      </c>
      <c r="R10" s="70" t="inlineStr">
        <is>
          <t>https://www.google.com/search?tbm=isch&amp;q=%222274+Peacock+Pl+%233%22+Union+City+CA+94587+house</t>
        </is>
      </c>
    </row>
    <row r="11" ht="26.39999961853027" customHeight="1" s="62">
      <c r="A11" s="33" t="n">
        <v>10</v>
      </c>
      <c r="B11" s="33" t="inlineStr">
        <is>
          <t>Sold</t>
        </is>
      </c>
      <c r="C11" s="46" t="inlineStr">
        <is>
          <t>3084 Sombrero Cir</t>
        </is>
      </c>
      <c r="D11" s="46" t="inlineStr">
        <is>
          <t>San Ramon</t>
        </is>
      </c>
      <c r="E11" s="46" t="inlineStr">
        <is>
          <t>CA</t>
        </is>
      </c>
      <c r="F11" s="46" t="inlineStr">
        <is>
          <t>94583</t>
        </is>
      </c>
      <c r="G11" s="73" t="n">
        <v>1310000</v>
      </c>
      <c r="H11" s="74" t="n">
        <v>45874</v>
      </c>
      <c r="I11" s="75" t="n">
        <v>4</v>
      </c>
      <c r="J11" s="76" t="n">
        <v>3</v>
      </c>
      <c r="K11" s="77" t="n">
        <v>1972</v>
      </c>
      <c r="L11" s="46" t="inlineStr">
        <is>
          <t>Buyer</t>
        </is>
      </c>
      <c r="M11" s="46" t="inlineStr">
        <is>
          <t>High - Realtor.com + Redfin property page</t>
        </is>
      </c>
      <c r="N11" s="46" t="inlineStr">
        <is>
          <t>https://www.realtor.com/realestateagents/56d64d26b5cc660100bd2576</t>
        </is>
      </c>
      <c r="O11" s="46" t="inlineStr">
        <is>
          <t>High-confidence corroborated record.</t>
        </is>
      </c>
      <c r="P11" t="inlineStr">
        <is>
          <t>High</t>
        </is>
      </c>
      <c r="Q11" t="inlineStr">
        <is>
          <t>Buyer</t>
        </is>
      </c>
      <c r="R11" s="70" t="inlineStr">
        <is>
          <t>https://www.google.com/search?tbm=isch&amp;q=%223084+Sombrero+Cir%22+San+Ramon+CA+94583+house</t>
        </is>
      </c>
    </row>
    <row r="12" ht="26.39999961853027" customHeight="1" s="62">
      <c r="A12" s="33" t="n">
        <v>11</v>
      </c>
      <c r="B12" s="33" t="inlineStr">
        <is>
          <t>Sold</t>
        </is>
      </c>
      <c r="C12" s="46" t="inlineStr">
        <is>
          <t>4191 Maple Meadows Dr</t>
        </is>
      </c>
      <c r="D12" s="46" t="inlineStr">
        <is>
          <t>Rancho Cordova</t>
        </is>
      </c>
      <c r="E12" s="46" t="inlineStr">
        <is>
          <t>CA</t>
        </is>
      </c>
      <c r="F12" s="46" t="inlineStr">
        <is>
          <t>95742</t>
        </is>
      </c>
      <c r="G12" s="73" t="n">
        <v>770000</v>
      </c>
      <c r="H12" s="74" t="n">
        <v>45856</v>
      </c>
      <c r="I12" s="75" t="n">
        <v>4</v>
      </c>
      <c r="J12" s="76" t="n">
        <v>3</v>
      </c>
      <c r="K12" s="77" t="n">
        <v>3003</v>
      </c>
      <c r="L12" s="46" t="inlineStr">
        <is>
          <t>Buyer</t>
        </is>
      </c>
      <c r="M12" s="46" t="inlineStr">
        <is>
          <t>High - Realtor.com + Redfin property page</t>
        </is>
      </c>
      <c r="N12" s="46" t="inlineStr">
        <is>
          <t>https://www.realtor.com/realestateagents/56d64d26b5cc660100bd2576</t>
        </is>
      </c>
      <c r="O12" s="46" t="str"/>
      <c r="P12" t="inlineStr">
        <is>
          <t>High</t>
        </is>
      </c>
      <c r="Q12" t="inlineStr">
        <is>
          <t>Buyer</t>
        </is>
      </c>
      <c r="R12" s="70" t="inlineStr">
        <is>
          <t>https://www.google.com/search?tbm=isch&amp;q=%224191+Maple+Meadows+Dr%22+Rancho+Cordova+CA+95742+house</t>
        </is>
      </c>
    </row>
    <row r="13" ht="26.39999961853027" customHeight="1" s="62">
      <c r="A13" s="33" t="n">
        <v>12</v>
      </c>
      <c r="B13" s="33" t="inlineStr">
        <is>
          <t>Sold</t>
        </is>
      </c>
      <c r="C13" s="46" t="inlineStr">
        <is>
          <t>231 Firethorn Ct</t>
        </is>
      </c>
      <c r="D13" s="46" t="inlineStr">
        <is>
          <t>San Ramon</t>
        </is>
      </c>
      <c r="E13" s="46" t="inlineStr">
        <is>
          <t>CA</t>
        </is>
      </c>
      <c r="F13" s="46" t="inlineStr">
        <is>
          <t>94582</t>
        </is>
      </c>
      <c r="G13" s="73" t="n">
        <v>1650000</v>
      </c>
      <c r="H13" s="74" t="n">
        <v>45839</v>
      </c>
      <c r="I13" s="75" t="n">
        <v>4</v>
      </c>
      <c r="J13" s="76" t="n">
        <v>3</v>
      </c>
      <c r="K13" s="77" t="n">
        <v>2201</v>
      </c>
      <c r="L13" s="46" t="inlineStr">
        <is>
          <t>Buyer</t>
        </is>
      </c>
      <c r="M13" s="46" t="inlineStr">
        <is>
          <t>High - Realtor.com + Redfin property page</t>
        </is>
      </c>
      <c r="N13" s="46" t="inlineStr">
        <is>
          <t>https://www.realtor.com/realestateagents/56d64d26b5cc660100bd2576</t>
        </is>
      </c>
      <c r="O13" s="46" t="inlineStr">
        <is>
          <t>High-confidence corroborated record.</t>
        </is>
      </c>
      <c r="P13" t="inlineStr">
        <is>
          <t>High</t>
        </is>
      </c>
      <c r="Q13" t="inlineStr">
        <is>
          <t>Buyer</t>
        </is>
      </c>
      <c r="R13" s="70" t="inlineStr">
        <is>
          <t>https://www.google.com/search?tbm=isch&amp;q=%22231+Firethorn+Ct%22+San+Ramon+CA+94582+house</t>
        </is>
      </c>
    </row>
    <row r="14" ht="26.39999961853027" customHeight="1" s="62">
      <c r="A14" s="33" t="n">
        <v>13</v>
      </c>
      <c r="B14" s="33" t="inlineStr">
        <is>
          <t>Sold</t>
        </is>
      </c>
      <c r="C14" s="46" t="inlineStr">
        <is>
          <t>2304 Morrison Ct</t>
        </is>
      </c>
      <c r="D14" s="46" t="inlineStr">
        <is>
          <t>Patterson</t>
        </is>
      </c>
      <c r="E14" s="46" t="inlineStr">
        <is>
          <t>CA</t>
        </is>
      </c>
      <c r="F14" s="46" t="inlineStr">
        <is>
          <t>95363</t>
        </is>
      </c>
      <c r="G14" s="73" t="n">
        <v>492900</v>
      </c>
      <c r="H14" s="74" t="n">
        <v>45716</v>
      </c>
      <c r="I14" s="75" t="n">
        <v>3</v>
      </c>
      <c r="J14" s="76" t="n">
        <v>2</v>
      </c>
      <c r="K14" s="77" t="n">
        <v>1602</v>
      </c>
      <c r="L14" s="46" t="inlineStr">
        <is>
          <t>Buyer</t>
        </is>
      </c>
      <c r="M14" s="46" t="inlineStr">
        <is>
          <t>High - Realtor.com + Redfin property page</t>
        </is>
      </c>
      <c r="N14" s="46" t="inlineStr">
        <is>
          <t>https://www.realtor.com/realestateagents/56d64d26b5cc660100bd2576</t>
        </is>
      </c>
      <c r="O14" s="46" t="inlineStr">
        <is>
          <t>High-confidence corroborated record.</t>
        </is>
      </c>
      <c r="P14" t="inlineStr">
        <is>
          <t>High</t>
        </is>
      </c>
      <c r="Q14" t="inlineStr">
        <is>
          <t>Buyer</t>
        </is>
      </c>
      <c r="R14" s="70" t="inlineStr">
        <is>
          <t>https://www.google.com/search?tbm=isch&amp;q=%222304+Morrison+Ct%22+Patterson+CA+95363+house</t>
        </is>
      </c>
    </row>
    <row r="15" ht="26.39999961853027" customHeight="1" s="62">
      <c r="A15" s="33" t="n">
        <v>14</v>
      </c>
      <c r="B15" s="33" t="inlineStr">
        <is>
          <t>Sold</t>
        </is>
      </c>
      <c r="C15" s="46" t="inlineStr">
        <is>
          <t>2711 Wylin Blvd</t>
        </is>
      </c>
      <c r="D15" s="46" t="inlineStr">
        <is>
          <t>Lathrop</t>
        </is>
      </c>
      <c r="E15" s="46" t="inlineStr">
        <is>
          <t>CA</t>
        </is>
      </c>
      <c r="F15" s="46" t="inlineStr">
        <is>
          <t>95330</t>
        </is>
      </c>
      <c r="G15" s="73" t="n">
        <v>1100000</v>
      </c>
      <c r="H15" s="74" t="n">
        <v>45565</v>
      </c>
      <c r="I15" s="75" t="n">
        <v>4</v>
      </c>
      <c r="J15" s="76" t="n">
        <v>3.5</v>
      </c>
      <c r="K15" s="77" t="n">
        <v>3119</v>
      </c>
      <c r="L15" s="46" t="inlineStr">
        <is>
          <t>Seller / listing</t>
        </is>
      </c>
      <c r="M15" s="46" t="inlineStr">
        <is>
          <t>High - Realtor.com + Homes.com + Redfin property page</t>
        </is>
      </c>
      <c r="N15" s="46" t="inlineStr">
        <is>
          <t>https://www.homes.com/real-estate-agents/gurmeet-singh/lt3ywbd/</t>
        </is>
      </c>
      <c r="O15" s="46" t="str"/>
      <c r="P15" t="inlineStr">
        <is>
          <t>High</t>
        </is>
      </c>
      <c r="Q15" t="inlineStr">
        <is>
          <t>Seller</t>
        </is>
      </c>
      <c r="R15" s="70" t="inlineStr">
        <is>
          <t>https://www.google.com/search?tbm=isch&amp;q=%222711+Wylin+Blvd%22+Lathrop+CA+95330+house</t>
        </is>
      </c>
    </row>
    <row r="16" ht="26.39999961853027" customHeight="1" s="62">
      <c r="A16" s="33" t="n">
        <v>15</v>
      </c>
      <c r="B16" s="33" t="inlineStr">
        <is>
          <t>Sold</t>
        </is>
      </c>
      <c r="C16" s="46" t="inlineStr">
        <is>
          <t>27566 Barcelona Ave</t>
        </is>
      </c>
      <c r="D16" s="46" t="inlineStr">
        <is>
          <t>Hayward</t>
        </is>
      </c>
      <c r="E16" s="46" t="inlineStr">
        <is>
          <t>CA</t>
        </is>
      </c>
      <c r="F16" s="46" t="inlineStr">
        <is>
          <t>94545</t>
        </is>
      </c>
      <c r="G16" s="73" t="n">
        <v>855000</v>
      </c>
      <c r="H16" s="74" t="n">
        <v>45548</v>
      </c>
      <c r="I16" s="75" t="n">
        <v>3</v>
      </c>
      <c r="J16" s="76" t="n">
        <v>2</v>
      </c>
      <c r="K16" s="77" t="n">
        <v>1119</v>
      </c>
      <c r="L16" s="46" t="inlineStr">
        <is>
          <t>Seller / listing</t>
        </is>
      </c>
      <c r="M16" s="46" t="inlineStr">
        <is>
          <t>High - Realtor.com + Homes.com + Compass</t>
        </is>
      </c>
      <c r="N16" s="46" t="inlineStr">
        <is>
          <t>https://www.realtor.com/realestateagents/56d64d26b5cc660100bd2576</t>
        </is>
      </c>
      <c r="O16" s="46" t="inlineStr">
        <is>
          <t>High-confidence corroborated record.</t>
        </is>
      </c>
      <c r="P16" t="inlineStr">
        <is>
          <t>High</t>
        </is>
      </c>
      <c r="Q16" t="inlineStr">
        <is>
          <t>Seller</t>
        </is>
      </c>
      <c r="R16" s="70" t="inlineStr">
        <is>
          <t>https://www.google.com/search?tbm=isch&amp;q=%2227566+Barcelona+Ave%22+Hayward+CA+94545+house</t>
        </is>
      </c>
    </row>
    <row r="17" ht="26.39999961853027" customHeight="1" s="62">
      <c r="A17" s="33" t="n">
        <v>16</v>
      </c>
      <c r="B17" s="33" t="inlineStr">
        <is>
          <t>Sold</t>
        </is>
      </c>
      <c r="C17" s="46" t="inlineStr">
        <is>
          <t>27704 Calaroga Ave</t>
        </is>
      </c>
      <c r="D17" s="46" t="inlineStr">
        <is>
          <t>Hayward</t>
        </is>
      </c>
      <c r="E17" s="46" t="inlineStr">
        <is>
          <t>CA</t>
        </is>
      </c>
      <c r="F17" s="46" t="inlineStr">
        <is>
          <t>94545</t>
        </is>
      </c>
      <c r="G17" s="73" t="n">
        <v>880000</v>
      </c>
      <c r="H17" s="74" t="n">
        <v>45526</v>
      </c>
      <c r="I17" s="75" t="n">
        <v>4</v>
      </c>
      <c r="J17" s="76" t="n">
        <v>3</v>
      </c>
      <c r="K17" s="77" t="n">
        <v>1464</v>
      </c>
      <c r="L17" s="46" t="inlineStr">
        <is>
          <t>Seller / listing</t>
        </is>
      </c>
      <c r="M17" s="46" t="inlineStr">
        <is>
          <t>High - Realtor.com + Homes.com</t>
        </is>
      </c>
      <c r="N17" s="46" t="inlineStr">
        <is>
          <t>https://www.realtor.com/realestateagents/56d64d26b5cc660100bd2576</t>
        </is>
      </c>
      <c r="O17" s="46" t="str"/>
      <c r="P17" t="inlineStr">
        <is>
          <t>High</t>
        </is>
      </c>
      <c r="Q17" t="inlineStr">
        <is>
          <t>Seller</t>
        </is>
      </c>
      <c r="R17" s="70" t="inlineStr">
        <is>
          <t>https://www.google.com/search?tbm=isch&amp;q=%2227704+Calaroga+Ave%22+Hayward+CA+94545+house</t>
        </is>
      </c>
    </row>
    <row r="18" ht="26.39999961853027" customHeight="1" s="62">
      <c r="A18" s="33" t="n">
        <v>17</v>
      </c>
      <c r="B18" s="33" t="inlineStr">
        <is>
          <t>Sold</t>
        </is>
      </c>
      <c r="C18" s="46" t="inlineStr">
        <is>
          <t>15563 Ronconi Dr</t>
        </is>
      </c>
      <c r="D18" s="46" t="inlineStr">
        <is>
          <t>San Lorenzo</t>
        </is>
      </c>
      <c r="E18" s="46" t="inlineStr">
        <is>
          <t>CA</t>
        </is>
      </c>
      <c r="F18" s="46" t="inlineStr">
        <is>
          <t>94580</t>
        </is>
      </c>
      <c r="G18" s="73" t="n">
        <v>906000</v>
      </c>
      <c r="H18" s="74" t="n">
        <v>45468</v>
      </c>
      <c r="I18" s="75" t="n">
        <v>3</v>
      </c>
      <c r="J18" s="76" t="n">
        <v>2.5</v>
      </c>
      <c r="K18" s="77" t="n">
        <v>1388</v>
      </c>
      <c r="L18" s="46" t="inlineStr">
        <is>
          <t>Seller / listing</t>
        </is>
      </c>
      <c r="M18" s="46" t="inlineStr">
        <is>
          <t>High - Homes.com + Zillow</t>
        </is>
      </c>
      <c r="N18" s="46" t="inlineStr">
        <is>
          <t>https://www.homes.com/real-estate-agents/gurmeet-singh/lt3ywbd/</t>
        </is>
      </c>
      <c r="O18" s="46" t="str"/>
      <c r="P18" t="inlineStr">
        <is>
          <t>High</t>
        </is>
      </c>
      <c r="Q18" t="inlineStr">
        <is>
          <t>Seller</t>
        </is>
      </c>
      <c r="R18" s="70" t="inlineStr">
        <is>
          <t>https://www.google.com/search?tbm=isch&amp;q=%2215563+Ronconi+Dr%22+San+Lorenzo+CA+94580+house</t>
        </is>
      </c>
    </row>
    <row r="19" ht="26.39999961853027" customHeight="1" s="62">
      <c r="A19" s="33" t="n">
        <v>18</v>
      </c>
      <c r="B19" s="33" t="inlineStr">
        <is>
          <t>Sold</t>
        </is>
      </c>
      <c r="C19" s="46" t="inlineStr">
        <is>
          <t>32616 Brenda Way #4</t>
        </is>
      </c>
      <c r="D19" s="46" t="inlineStr">
        <is>
          <t>Union City</t>
        </is>
      </c>
      <c r="E19" s="46" t="inlineStr">
        <is>
          <t>CA</t>
        </is>
      </c>
      <c r="F19" s="46" t="inlineStr">
        <is>
          <t>94587</t>
        </is>
      </c>
      <c r="G19" s="73" t="n">
        <v>535000</v>
      </c>
      <c r="H19" s="74" t="n">
        <v>45386</v>
      </c>
      <c r="I19" s="75" t="n">
        <v>2</v>
      </c>
      <c r="J19" s="76" t="n">
        <v>1</v>
      </c>
      <c r="K19" s="77" t="n">
        <v>798</v>
      </c>
      <c r="L19" s="46" t="inlineStr">
        <is>
          <t>Seller / listing</t>
        </is>
      </c>
      <c r="M19" s="46" t="inlineStr">
        <is>
          <t>High - Homes.com</t>
        </is>
      </c>
      <c r="N19" s="46" t="inlineStr">
        <is>
          <t>https://www.homes.com/real-estate-agents/gurmeet-singh/lt3ywbd/</t>
        </is>
      </c>
      <c r="O19" s="46" t="inlineStr">
        <is>
          <t>Separate property from 32640 Brenda Way #4.</t>
        </is>
      </c>
      <c r="P19" t="inlineStr">
        <is>
          <t>High</t>
        </is>
      </c>
      <c r="Q19" t="inlineStr">
        <is>
          <t>Seller</t>
        </is>
      </c>
      <c r="R19" s="70" t="inlineStr">
        <is>
          <t>https://www.google.com/search?tbm=isch&amp;q=%2232616+Brenda+Way+%234%22+Union+City+CA+94587+house</t>
        </is>
      </c>
    </row>
    <row r="20" ht="26.39999961853027" customHeight="1" s="62">
      <c r="A20" s="33" t="n">
        <v>19</v>
      </c>
      <c r="B20" s="33" t="inlineStr">
        <is>
          <t>Sold</t>
        </is>
      </c>
      <c r="C20" s="46" t="inlineStr">
        <is>
          <t>33127 Lake Superior Pl</t>
        </is>
      </c>
      <c r="D20" s="46" t="inlineStr">
        <is>
          <t>Fremont</t>
        </is>
      </c>
      <c r="E20" s="46" t="inlineStr">
        <is>
          <t>CA</t>
        </is>
      </c>
      <c r="F20" s="46" t="inlineStr">
        <is>
          <t>94555</t>
        </is>
      </c>
      <c r="G20" s="73" t="n">
        <v>1055000</v>
      </c>
      <c r="H20" s="74" t="n">
        <v>45355</v>
      </c>
      <c r="I20" s="75" t="n">
        <v>2</v>
      </c>
      <c r="J20" s="76" t="n">
        <v>1</v>
      </c>
      <c r="K20" s="77" t="n">
        <v>880</v>
      </c>
      <c r="L20" s="46" t="inlineStr">
        <is>
          <t>Buyer</t>
        </is>
      </c>
      <c r="M20" s="46" t="inlineStr">
        <is>
          <t>High - Zillow property page</t>
        </is>
      </c>
      <c r="N20" s="46" t="inlineStr">
        <is>
          <t>https://www.zillow.com/profile/Gurmeet%20Singh</t>
        </is>
      </c>
      <c r="O20" s="46" t="inlineStr">
        <is>
          <t>High-confidence corroborated record.</t>
        </is>
      </c>
      <c r="P20" t="inlineStr">
        <is>
          <t>High</t>
        </is>
      </c>
      <c r="Q20" t="inlineStr">
        <is>
          <t>Buyer</t>
        </is>
      </c>
      <c r="R20" s="70" t="inlineStr">
        <is>
          <t>https://www.google.com/search?tbm=isch&amp;q=%2233127+Lake+Superior+Pl%22+Fremont+CA+94555+house</t>
        </is>
      </c>
    </row>
    <row r="21" ht="26.39999961853027" customHeight="1" s="62">
      <c r="A21" s="33" t="n">
        <v>20</v>
      </c>
      <c r="B21" s="33" t="inlineStr">
        <is>
          <t>Sold</t>
        </is>
      </c>
      <c r="C21" s="46" t="inlineStr">
        <is>
          <t>252 Appian Way</t>
        </is>
      </c>
      <c r="D21" s="46" t="inlineStr">
        <is>
          <t>Union City</t>
        </is>
      </c>
      <c r="E21" s="46" t="inlineStr">
        <is>
          <t>CA</t>
        </is>
      </c>
      <c r="F21" s="46" t="inlineStr">
        <is>
          <t>94587</t>
        </is>
      </c>
      <c r="G21" s="73" t="n">
        <v>1070000</v>
      </c>
      <c r="H21" s="74" t="n">
        <v>45232</v>
      </c>
      <c r="I21" s="75" t="n">
        <v>4</v>
      </c>
      <c r="J21" s="76" t="n">
        <v>2</v>
      </c>
      <c r="K21" s="77" t="n">
        <v>1766</v>
      </c>
      <c r="L21" s="46" t="inlineStr">
        <is>
          <t>Buyer</t>
        </is>
      </c>
      <c r="M21" s="46" t="inlineStr">
        <is>
          <t>High - Compass property page</t>
        </is>
      </c>
      <c r="N21" s="46" t="inlineStr">
        <is>
          <t>https://www.compass.com/homedetails/252-Appian-Way-Union-City-CA-94587/1P5HPT_pid/</t>
        </is>
      </c>
      <c r="O21" s="46" t="inlineStr">
        <is>
          <t>High-confidence corroborated record.</t>
        </is>
      </c>
      <c r="P21" t="inlineStr">
        <is>
          <t>High</t>
        </is>
      </c>
      <c r="Q21" t="inlineStr">
        <is>
          <t>Buyer</t>
        </is>
      </c>
      <c r="R21" s="70" t="inlineStr">
        <is>
          <t>https://www.google.com/search?tbm=isch&amp;q=%22252+Appian+Way%22+Union+City+CA+94587+house</t>
        </is>
      </c>
    </row>
    <row r="22" ht="26.39999961853027" customHeight="1" s="62">
      <c r="A22" s="33" t="n">
        <v>21</v>
      </c>
      <c r="B22" s="33" t="inlineStr">
        <is>
          <t>Sold</t>
        </is>
      </c>
      <c r="C22" s="46" t="inlineStr">
        <is>
          <t>2650 Oliver Dr</t>
        </is>
      </c>
      <c r="D22" s="46" t="inlineStr">
        <is>
          <t>Hayward</t>
        </is>
      </c>
      <c r="E22" s="46" t="inlineStr">
        <is>
          <t>CA</t>
        </is>
      </c>
      <c r="F22" s="46" t="str"/>
      <c r="G22" s="73" t="n">
        <v>680000</v>
      </c>
      <c r="H22" s="74" t="n">
        <v>45112</v>
      </c>
      <c r="I22" s="75" t="n"/>
      <c r="J22" s="76" t="n"/>
      <c r="K22" s="77" t="n"/>
      <c r="L22" s="46" t="inlineStr">
        <is>
          <t>Seller / listing</t>
        </is>
      </c>
      <c r="M22" s="46" t="inlineStr">
        <is>
          <t>High - Homes.com property page</t>
        </is>
      </c>
      <c r="N22" s="46" t="inlineStr">
        <is>
          <t>https://www.homes.com/property/2650-oliver-dr-hayward-ca/5wrhsqbvqg0cz/</t>
        </is>
      </c>
      <c r="O22" s="46" t="str"/>
      <c r="P22" t="inlineStr">
        <is>
          <t>High</t>
        </is>
      </c>
      <c r="Q22" t="inlineStr">
        <is>
          <t>Seller</t>
        </is>
      </c>
      <c r="R22" s="70" t="inlineStr">
        <is>
          <t>https://www.google.com/search?tbm=isch&amp;q=%222650+Oliver+Dr%22+Hayward+CA+house</t>
        </is>
      </c>
    </row>
    <row r="23" ht="26.39999961853027" customHeight="1" s="62">
      <c r="A23" s="33" t="n">
        <v>22</v>
      </c>
      <c r="B23" s="33" t="inlineStr">
        <is>
          <t>Sold</t>
        </is>
      </c>
      <c r="C23" s="46" t="inlineStr">
        <is>
          <t>3184 Durant Ave</t>
        </is>
      </c>
      <c r="D23" s="46" t="inlineStr">
        <is>
          <t>San Jose</t>
        </is>
      </c>
      <c r="E23" s="46" t="inlineStr">
        <is>
          <t>CA</t>
        </is>
      </c>
      <c r="F23" s="46" t="inlineStr">
        <is>
          <t>95111</t>
        </is>
      </c>
      <c r="G23" s="73" t="n">
        <v>999888</v>
      </c>
      <c r="H23" s="74" t="n">
        <v>44951</v>
      </c>
      <c r="I23" s="75" t="n">
        <v>3</v>
      </c>
      <c r="J23" s="76" t="n">
        <v>2</v>
      </c>
      <c r="K23" s="77" t="n">
        <v>1241</v>
      </c>
      <c r="L23" s="46" t="inlineStr">
        <is>
          <t>Buyer</t>
        </is>
      </c>
      <c r="M23" s="46" t="inlineStr">
        <is>
          <t>High - Compass property page</t>
        </is>
      </c>
      <c r="N23" s="46" t="inlineStr">
        <is>
          <t>https://www.compass.com/homedetails/3184-Durant-Ave-San-Jose-CA-95111/1QVWU5_pid/</t>
        </is>
      </c>
      <c r="O23" s="46" t="inlineStr">
        <is>
          <t>High-confidence corroborated record.</t>
        </is>
      </c>
      <c r="P23" t="inlineStr">
        <is>
          <t>High</t>
        </is>
      </c>
      <c r="Q23" t="inlineStr">
        <is>
          <t>Buyer</t>
        </is>
      </c>
      <c r="R23" s="70" t="inlineStr">
        <is>
          <t>https://www.google.com/search?tbm=isch&amp;q=%223184+Durant+Ave%22+San+Jose+CA+95111+house</t>
        </is>
      </c>
    </row>
    <row r="24" ht="26.39999961853027" customHeight="1" s="62">
      <c r="A24" s="33" t="n">
        <v>23</v>
      </c>
      <c r="B24" s="33" t="inlineStr">
        <is>
          <t>Sold</t>
        </is>
      </c>
      <c r="C24" s="46" t="inlineStr">
        <is>
          <t>3333 Howard Cmn</t>
        </is>
      </c>
      <c r="D24" s="46" t="inlineStr">
        <is>
          <t>Fremont</t>
        </is>
      </c>
      <c r="E24" s="46" t="inlineStr">
        <is>
          <t>CA</t>
        </is>
      </c>
      <c r="F24" s="46" t="inlineStr">
        <is>
          <t>94536</t>
        </is>
      </c>
      <c r="G24" s="73" t="n">
        <v>750000</v>
      </c>
      <c r="H24" s="74" t="n">
        <v>44698</v>
      </c>
      <c r="I24" s="75" t="n">
        <v>2</v>
      </c>
      <c r="J24" s="76" t="n">
        <v>2</v>
      </c>
      <c r="K24" s="77" t="n">
        <v>1024</v>
      </c>
      <c r="L24" s="46" t="inlineStr">
        <is>
          <t>Buyer</t>
        </is>
      </c>
      <c r="M24" s="46" t="inlineStr">
        <is>
          <t>High - Compass property page</t>
        </is>
      </c>
      <c r="N24" s="46" t="inlineStr">
        <is>
          <t>https://www.compass.com/homedetails/3333-Howard-Common-Fremont-CA-94536/1PRI0X_pid/</t>
        </is>
      </c>
      <c r="O24" s="46" t="inlineStr">
        <is>
          <t>High-confidence corroborated record.</t>
        </is>
      </c>
      <c r="P24" t="inlineStr">
        <is>
          <t>High</t>
        </is>
      </c>
      <c r="Q24" t="inlineStr">
        <is>
          <t>Buyer</t>
        </is>
      </c>
      <c r="R24" s="70" t="inlineStr">
        <is>
          <t>https://www.google.com/search?tbm=isch&amp;q=%223333+Howard+Cmn%22+Fremont+CA+94536+house</t>
        </is>
      </c>
    </row>
    <row r="25" ht="26.39999961853027" customHeight="1" s="62">
      <c r="A25" s="33" t="n">
        <v>24</v>
      </c>
      <c r="B25" s="33" t="inlineStr">
        <is>
          <t>Sold</t>
        </is>
      </c>
      <c r="C25" s="46" t="inlineStr">
        <is>
          <t>2920 Woods Ct</t>
        </is>
      </c>
      <c r="D25" s="46" t="inlineStr">
        <is>
          <t>San Jose</t>
        </is>
      </c>
      <c r="E25" s="46" t="inlineStr">
        <is>
          <t>CA</t>
        </is>
      </c>
      <c r="F25" s="46" t="inlineStr">
        <is>
          <t>95148</t>
        </is>
      </c>
      <c r="G25" s="73" t="n">
        <v>1250000</v>
      </c>
      <c r="H25" s="74" t="n">
        <v>44391</v>
      </c>
      <c r="I25" s="75" t="n">
        <v>3</v>
      </c>
      <c r="J25" s="76" t="n">
        <v>2</v>
      </c>
      <c r="K25" s="77" t="n">
        <v>1274</v>
      </c>
      <c r="L25" s="46" t="inlineStr">
        <is>
          <t>Buyer</t>
        </is>
      </c>
      <c r="M25" s="46" t="inlineStr">
        <is>
          <t>High - Compass property page</t>
        </is>
      </c>
      <c r="N25" s="46" t="inlineStr">
        <is>
          <t>https://www.compass.com/listing/2920-woods-court-san-jose-ca-95148/791204355221217265/</t>
        </is>
      </c>
      <c r="O25" s="46" t="inlineStr">
        <is>
          <t>High-confidence corroborated record.</t>
        </is>
      </c>
      <c r="P25" t="inlineStr">
        <is>
          <t>High</t>
        </is>
      </c>
      <c r="Q25" t="inlineStr">
        <is>
          <t>Buyer</t>
        </is>
      </c>
      <c r="R25" s="70" t="inlineStr">
        <is>
          <t>https://www.google.com/search?tbm=isch&amp;q=%222920+Woods+Ct%22+San+Jose+CA+95148+house</t>
        </is>
      </c>
    </row>
    <row r="26" ht="26.39999961853027" customHeight="1" s="62">
      <c r="A26" s="33" t="n">
        <v>25</v>
      </c>
      <c r="B26" s="33" t="inlineStr">
        <is>
          <t>Sold</t>
        </is>
      </c>
      <c r="C26" s="46" t="inlineStr">
        <is>
          <t>930 Dolores Ave</t>
        </is>
      </c>
      <c r="D26" s="46" t="inlineStr">
        <is>
          <t>San Leandro</t>
        </is>
      </c>
      <c r="E26" s="46" t="inlineStr">
        <is>
          <t>CA</t>
        </is>
      </c>
      <c r="F26" s="46" t="inlineStr">
        <is>
          <t>94577</t>
        </is>
      </c>
      <c r="G26" s="73" t="n">
        <v>968000</v>
      </c>
      <c r="H26" s="74" t="n">
        <v>44266</v>
      </c>
      <c r="I26" s="75" t="n"/>
      <c r="J26" s="76" t="n"/>
      <c r="K26" s="77" t="n"/>
      <c r="L26" s="46" t="inlineStr">
        <is>
          <t>Seller / listing</t>
        </is>
      </c>
      <c r="M26" s="46" t="inlineStr">
        <is>
          <t>High - Compass property page</t>
        </is>
      </c>
      <c r="N26" s="46" t="inlineStr">
        <is>
          <t>https://www.compass.com/listing/930-dolores-avenue-san-leandro-ca-94577/704541915603688961/</t>
        </is>
      </c>
      <c r="O26" s="46" t="str"/>
      <c r="P26" t="inlineStr">
        <is>
          <t>High</t>
        </is>
      </c>
      <c r="Q26" t="inlineStr">
        <is>
          <t>Seller</t>
        </is>
      </c>
      <c r="R26" s="70" t="inlineStr">
        <is>
          <t>https://www.google.com/search?tbm=isch&amp;q=%22930+Dolores+Ave%22+San+Leandro+CA+94577+house</t>
        </is>
      </c>
    </row>
    <row r="27" ht="26.39999961853027" customHeight="1" s="62">
      <c r="A27" s="33" t="n">
        <v>26</v>
      </c>
      <c r="B27" s="33" t="inlineStr">
        <is>
          <t>Sold</t>
        </is>
      </c>
      <c r="C27" s="46" t="inlineStr">
        <is>
          <t>353 Shepherd Ave</t>
        </is>
      </c>
      <c r="D27" s="46" t="inlineStr">
        <is>
          <t>Hayward</t>
        </is>
      </c>
      <c r="E27" s="46" t="inlineStr">
        <is>
          <t>CA</t>
        </is>
      </c>
      <c r="F27" s="46" t="inlineStr">
        <is>
          <t>94544</t>
        </is>
      </c>
      <c r="G27" s="73" t="n">
        <v>649000</v>
      </c>
      <c r="H27" s="74" t="n">
        <v>44127</v>
      </c>
      <c r="I27" s="75" t="n">
        <v>3</v>
      </c>
      <c r="J27" s="76" t="n">
        <v>1.5</v>
      </c>
      <c r="K27" s="77" t="n">
        <v>1576</v>
      </c>
      <c r="L27" s="46" t="inlineStr">
        <is>
          <t>Buyer</t>
        </is>
      </c>
      <c r="M27" s="46" t="inlineStr">
        <is>
          <t>High - Compass property page</t>
        </is>
      </c>
      <c r="N27" s="46" t="inlineStr">
        <is>
          <t>https://www.compass.com/homedetails/353-Shepherd-Ave-Hayward-CA-94544/1PCDE7_pid/</t>
        </is>
      </c>
      <c r="O27" s="46" t="inlineStr">
        <is>
          <t>High-confidence corroborated record.</t>
        </is>
      </c>
      <c r="P27" t="inlineStr">
        <is>
          <t>High</t>
        </is>
      </c>
      <c r="Q27" t="inlineStr">
        <is>
          <t>Buyer</t>
        </is>
      </c>
      <c r="R27" s="70" t="inlineStr">
        <is>
          <t>https://www.google.com/search?tbm=isch&amp;q=%22353+Shepherd+Ave%22+Hayward+CA+94544+house</t>
        </is>
      </c>
    </row>
    <row r="28" ht="26.39999961853027" customHeight="1" s="62">
      <c r="A28" s="33" t="n">
        <v>27</v>
      </c>
      <c r="B28" s="33" t="inlineStr">
        <is>
          <t>Sold</t>
        </is>
      </c>
      <c r="C28" s="46" t="inlineStr">
        <is>
          <t>3134 San Ramon Ct</t>
        </is>
      </c>
      <c r="D28" s="46" t="inlineStr">
        <is>
          <t>Union City</t>
        </is>
      </c>
      <c r="E28" s="46" t="inlineStr">
        <is>
          <t>CA</t>
        </is>
      </c>
      <c r="F28" s="46" t="str"/>
      <c r="G28" s="73" t="n">
        <v>942500</v>
      </c>
      <c r="H28" s="74" t="n">
        <v>43902</v>
      </c>
      <c r="I28" s="75" t="n"/>
      <c r="J28" s="76" t="n"/>
      <c r="K28" s="77" t="n"/>
      <c r="L28" s="46" t="inlineStr">
        <is>
          <t>Seller / listing</t>
        </is>
      </c>
      <c r="M28" s="46" t="inlineStr">
        <is>
          <t>High - Homes.com property page</t>
        </is>
      </c>
      <c r="N28" s="46" t="inlineStr">
        <is>
          <t>https://www.homes.com/property/3134-san-ramon-ct-union-city-ca/jm1f230plrj3s/</t>
        </is>
      </c>
      <c r="O28" s="46" t="str"/>
      <c r="P28" t="inlineStr">
        <is>
          <t>High</t>
        </is>
      </c>
      <c r="Q28" t="inlineStr">
        <is>
          <t>Seller</t>
        </is>
      </c>
      <c r="R28" s="70" t="inlineStr">
        <is>
          <t>https://www.google.com/search?tbm=isch&amp;q=%223134+San+Ramon+Ct%22+Union+City+CA+house</t>
        </is>
      </c>
    </row>
    <row r="29" ht="26.39999961853027" customHeight="1" s="62">
      <c r="A29" s="33" t="n">
        <v>28</v>
      </c>
      <c r="B29" s="33" t="inlineStr">
        <is>
          <t>Sold</t>
        </is>
      </c>
      <c r="C29" s="46" t="inlineStr">
        <is>
          <t>1591 Riverview Ave</t>
        </is>
      </c>
      <c r="D29" s="46" t="inlineStr">
        <is>
          <t>Tracy</t>
        </is>
      </c>
      <c r="E29" s="46" t="inlineStr">
        <is>
          <t>CA</t>
        </is>
      </c>
      <c r="F29" s="46" t="inlineStr">
        <is>
          <t>95377</t>
        </is>
      </c>
      <c r="G29" s="73" t="n">
        <v>537000</v>
      </c>
      <c r="H29" s="74" t="n">
        <v>43044</v>
      </c>
      <c r="I29" s="75" t="n">
        <v>5</v>
      </c>
      <c r="J29" s="76" t="n">
        <v>4</v>
      </c>
      <c r="K29" s="77" t="n">
        <v>3198</v>
      </c>
      <c r="L29" s="46" t="inlineStr">
        <is>
          <t>Buyer</t>
        </is>
      </c>
      <c r="M29" s="46" t="inlineStr">
        <is>
          <t>High - Compass property page</t>
        </is>
      </c>
      <c r="N29" s="46" t="inlineStr">
        <is>
          <t>https://www.compass.com/homedetails/1591-Riverview-Ave-Tracy-CA-95377/1QLY22_pid/</t>
        </is>
      </c>
      <c r="O29" s="46" t="inlineStr">
        <is>
          <t>High-confidence corroborated record.</t>
        </is>
      </c>
      <c r="P29" t="inlineStr">
        <is>
          <t>High</t>
        </is>
      </c>
      <c r="Q29" t="inlineStr">
        <is>
          <t>Buyer</t>
        </is>
      </c>
      <c r="R29" s="70" t="inlineStr">
        <is>
          <t>https://www.google.com/search?tbm=isch&amp;q=%221591+Riverview+Ave%22+Tracy+CA+95377+house</t>
        </is>
      </c>
    </row>
    <row r="30" ht="26.39999961853027" customHeight="1" s="62">
      <c r="A30" s="33" t="n">
        <v>29</v>
      </c>
      <c r="B30" s="33" t="inlineStr">
        <is>
          <t>Sold</t>
        </is>
      </c>
      <c r="C30" s="46" t="inlineStr">
        <is>
          <t>2183 Joseph Damon Dr</t>
        </is>
      </c>
      <c r="D30" s="46" t="inlineStr">
        <is>
          <t>Tracy</t>
        </is>
      </c>
      <c r="E30" s="46" t="inlineStr">
        <is>
          <t>CA</t>
        </is>
      </c>
      <c r="F30" s="46" t="inlineStr">
        <is>
          <t>95377</t>
        </is>
      </c>
      <c r="G30" s="73" t="n">
        <v>460750</v>
      </c>
      <c r="H30" s="74" t="n">
        <v>42902</v>
      </c>
      <c r="I30" s="75" t="n">
        <v>4</v>
      </c>
      <c r="J30" s="76" t="n">
        <v>2</v>
      </c>
      <c r="K30" s="77" t="n">
        <v>1648</v>
      </c>
      <c r="L30" s="46" t="inlineStr">
        <is>
          <t>Buyer</t>
        </is>
      </c>
      <c r="M30" s="46" t="inlineStr">
        <is>
          <t>High - Compass property page</t>
        </is>
      </c>
      <c r="N30" s="46" t="inlineStr">
        <is>
          <t>https://www.compass.com/homedetails/2183-Joseph-Damon-Dr-Tracy-CA-95377/1RC9TH_pid/</t>
        </is>
      </c>
      <c r="O30" s="46" t="inlineStr">
        <is>
          <t>High-confidence corroborated record.</t>
        </is>
      </c>
      <c r="P30" t="inlineStr">
        <is>
          <t>High</t>
        </is>
      </c>
      <c r="Q30" t="inlineStr">
        <is>
          <t>Buyer</t>
        </is>
      </c>
      <c r="R30" s="70" t="inlineStr">
        <is>
          <t>https://www.google.com/search?tbm=isch&amp;q=%222183+Joseph+Damon+Dr%22+Tracy+CA+95377+house</t>
        </is>
      </c>
    </row>
    <row r="31" ht="26.39999961853027" customHeight="1" s="62">
      <c r="A31" s="33" t="n">
        <v>30</v>
      </c>
      <c r="B31" s="33" t="inlineStr">
        <is>
          <t>Sold</t>
        </is>
      </c>
      <c r="C31" s="46" t="inlineStr">
        <is>
          <t>2536 Yerba Hills Ct</t>
        </is>
      </c>
      <c r="D31" s="46" t="inlineStr">
        <is>
          <t>San Jose</t>
        </is>
      </c>
      <c r="E31" s="46" t="inlineStr">
        <is>
          <t>CA</t>
        </is>
      </c>
      <c r="F31" s="46" t="inlineStr">
        <is>
          <t>95121</t>
        </is>
      </c>
      <c r="G31" s="73" t="n">
        <v>670000</v>
      </c>
      <c r="H31" s="74" t="n">
        <v>42583</v>
      </c>
      <c r="I31" s="75" t="n">
        <v>3</v>
      </c>
      <c r="J31" s="76" t="n">
        <v>2</v>
      </c>
      <c r="K31" s="77" t="n">
        <v>1216</v>
      </c>
      <c r="L31" s="46" t="inlineStr">
        <is>
          <t>Buyer</t>
        </is>
      </c>
      <c r="M31" s="46" t="inlineStr">
        <is>
          <t>High - Compass property page</t>
        </is>
      </c>
      <c r="N31" s="46" t="inlineStr">
        <is>
          <t>https://www.compass.com/homedetails/2536-Yerba-Hills-Ct-San-Jose-CA-95121/25093046769106305_lid/</t>
        </is>
      </c>
      <c r="O31" s="46" t="inlineStr">
        <is>
          <t>High-confidence corroborated record.</t>
        </is>
      </c>
      <c r="P31" t="inlineStr">
        <is>
          <t>High</t>
        </is>
      </c>
      <c r="Q31" t="inlineStr">
        <is>
          <t>Buyer</t>
        </is>
      </c>
      <c r="R31" s="70" t="inlineStr">
        <is>
          <t>https://www.google.com/search?tbm=isch&amp;q=%222536+Yerba+Hills+Ct%22+San+Jose+CA+95121+house</t>
        </is>
      </c>
    </row>
    <row r="32" ht="26.39999961853027" customHeight="1" s="62">
      <c r="A32" s="33" t="n">
        <v>31</v>
      </c>
      <c r="B32" s="33" t="inlineStr">
        <is>
          <t>Sold</t>
        </is>
      </c>
      <c r="C32" s="46" t="inlineStr">
        <is>
          <t>2170 Park Arroyo Pl</t>
        </is>
      </c>
      <c r="D32" s="46" t="inlineStr">
        <is>
          <t>Hayward</t>
        </is>
      </c>
      <c r="E32" s="46" t="inlineStr">
        <is>
          <t>CA</t>
        </is>
      </c>
      <c r="F32" s="46" t="inlineStr">
        <is>
          <t>94545</t>
        </is>
      </c>
      <c r="G32" s="73" t="n">
        <v>580000</v>
      </c>
      <c r="H32" s="74" t="n">
        <v>42562</v>
      </c>
      <c r="I32" s="75" t="n">
        <v>3</v>
      </c>
      <c r="J32" s="76" t="n">
        <v>2.5</v>
      </c>
      <c r="K32" s="77" t="n">
        <v>1646</v>
      </c>
      <c r="L32" s="46" t="inlineStr">
        <is>
          <t>Buyer</t>
        </is>
      </c>
      <c r="M32" s="46" t="inlineStr">
        <is>
          <t>High - Compass property page</t>
        </is>
      </c>
      <c r="N32" s="46" t="inlineStr">
        <is>
          <t>https://www.compass.com/listing/2170-park-arroyo-place-hayward-ca-94545/25064235566395905/</t>
        </is>
      </c>
      <c r="O32" s="46" t="inlineStr">
        <is>
          <t>High-confidence corroborated record.</t>
        </is>
      </c>
      <c r="P32" t="inlineStr">
        <is>
          <t>High</t>
        </is>
      </c>
      <c r="Q32" t="inlineStr">
        <is>
          <t>Buyer</t>
        </is>
      </c>
      <c r="R32" s="70" t="inlineStr">
        <is>
          <t>https://www.google.com/search?tbm=isch&amp;q=%222170+Park+Arroyo+Pl%22+Hayward+CA+94545+house</t>
        </is>
      </c>
    </row>
    <row r="33" ht="26.39999961853027" customHeight="1" s="62">
      <c r="A33" s="33" t="n">
        <v>32</v>
      </c>
      <c r="B33" s="33" t="inlineStr">
        <is>
          <t>Sold</t>
        </is>
      </c>
      <c r="C33" s="46" t="inlineStr">
        <is>
          <t>37200 Meadowbrook Cmn #202</t>
        </is>
      </c>
      <c r="D33" s="46" t="inlineStr">
        <is>
          <t>Fremont</t>
        </is>
      </c>
      <c r="E33" s="46" t="inlineStr">
        <is>
          <t>CA</t>
        </is>
      </c>
      <c r="F33" s="46" t="str"/>
      <c r="G33" s="73" t="n">
        <v>560000</v>
      </c>
      <c r="H33" s="74" t="n">
        <v>42503</v>
      </c>
      <c r="I33" s="75" t="n">
        <v>2</v>
      </c>
      <c r="J33" s="76" t="n">
        <v>2</v>
      </c>
      <c r="K33" s="77" t="n">
        <v>1061</v>
      </c>
      <c r="L33" s="46" t="inlineStr">
        <is>
          <t>Buyer</t>
        </is>
      </c>
      <c r="M33" s="46" t="inlineStr">
        <is>
          <t>High - Homes.com property page</t>
        </is>
      </c>
      <c r="N33" s="46" t="inlineStr">
        <is>
          <t>https://www.homes.com/property/37200-meadowbrook-common-fremont-ca-unit-202/kq7g7lnqy6kq2/</t>
        </is>
      </c>
      <c r="O33" s="46" t="inlineStr">
        <is>
          <t>High-confidence corroborated record.</t>
        </is>
      </c>
      <c r="P33" t="inlineStr">
        <is>
          <t>High</t>
        </is>
      </c>
      <c r="Q33" t="inlineStr">
        <is>
          <t>Buyer</t>
        </is>
      </c>
      <c r="R33" s="70" t="inlineStr">
        <is>
          <t>https://www.google.com/search?tbm=isch&amp;q=%2237200+Meadowbrook+Cmn+%23202%22+Fremont+CA+house</t>
        </is>
      </c>
    </row>
    <row r="34" ht="26.39999961853027" customHeight="1" s="62">
      <c r="A34" s="33" t="n">
        <v>33</v>
      </c>
      <c r="B34" s="33" t="inlineStr">
        <is>
          <t>Sold</t>
        </is>
      </c>
      <c r="C34" s="46" t="inlineStr">
        <is>
          <t>6398 Ebensburg Ln</t>
        </is>
      </c>
      <c r="D34" s="46" t="inlineStr">
        <is>
          <t>Dublin</t>
        </is>
      </c>
      <c r="E34" s="46" t="inlineStr">
        <is>
          <t>CA</t>
        </is>
      </c>
      <c r="F34" s="46" t="inlineStr">
        <is>
          <t>94568</t>
        </is>
      </c>
      <c r="G34" s="73" t="n">
        <v>749999</v>
      </c>
      <c r="H34" s="74" t="n">
        <v>42360</v>
      </c>
      <c r="I34" s="75" t="n">
        <v>3</v>
      </c>
      <c r="J34" s="76" t="n">
        <v>2</v>
      </c>
      <c r="K34" s="77" t="n">
        <v>1458</v>
      </c>
      <c r="L34" s="46" t="inlineStr">
        <is>
          <t>Buyer</t>
        </is>
      </c>
      <c r="M34" s="46" t="inlineStr">
        <is>
          <t>High - Compass property page</t>
        </is>
      </c>
      <c r="N34" s="46" t="inlineStr">
        <is>
          <t>https://www.compass.com/listing/6398-ebensburg-lane-dublin-ca-94568/25076233817578689/</t>
        </is>
      </c>
      <c r="O34" s="46" t="inlineStr">
        <is>
          <t>High-confidence corroborated record.</t>
        </is>
      </c>
      <c r="P34" t="inlineStr">
        <is>
          <t>High</t>
        </is>
      </c>
      <c r="Q34" t="inlineStr">
        <is>
          <t>Buyer</t>
        </is>
      </c>
      <c r="R34" s="70" t="inlineStr">
        <is>
          <t>https://www.google.com/search?tbm=isch&amp;q=%226398+Ebensburg+Ln%22+Dublin+CA+94568+house</t>
        </is>
      </c>
    </row>
    <row r="35" ht="26.39999961853027" customHeight="1" s="62">
      <c r="A35" s="33" t="n">
        <v>34</v>
      </c>
      <c r="B35" s="33" t="inlineStr">
        <is>
          <t>Sold</t>
        </is>
      </c>
      <c r="C35" s="46" t="inlineStr">
        <is>
          <t>1169 Platinum St</t>
        </is>
      </c>
      <c r="D35" s="46" t="inlineStr">
        <is>
          <t>Union City</t>
        </is>
      </c>
      <c r="E35" s="46" t="inlineStr">
        <is>
          <t>CA</t>
        </is>
      </c>
      <c r="F35" s="46" t="inlineStr">
        <is>
          <t>94587</t>
        </is>
      </c>
      <c r="G35" s="73" t="n">
        <v>918000</v>
      </c>
      <c r="H35" s="74" t="n">
        <v>42124</v>
      </c>
      <c r="I35" s="75" t="n"/>
      <c r="J35" s="76" t="n"/>
      <c r="K35" s="77" t="n"/>
      <c r="L35" s="46" t="inlineStr">
        <is>
          <t>Buyer</t>
        </is>
      </c>
      <c r="M35" s="46" t="inlineStr">
        <is>
          <t>High - Redfin property page</t>
        </is>
      </c>
      <c r="N35" s="46" t="inlineStr">
        <is>
          <t>https://www.redfin.com/CA/Union-City/1169-Platinum-St-94587/home/2112158</t>
        </is>
      </c>
      <c r="O35" s="46" t="str"/>
      <c r="P35" t="inlineStr">
        <is>
          <t>High</t>
        </is>
      </c>
      <c r="Q35" t="inlineStr">
        <is>
          <t>Buyer</t>
        </is>
      </c>
      <c r="R35" s="70" t="inlineStr">
        <is>
          <t>https://www.google.com/search?tbm=isch&amp;q=%221169+Platinum+St%22+Union+City+CA+94587+house</t>
        </is>
      </c>
    </row>
    <row r="36" ht="26.39999961853027" customHeight="1" s="62">
      <c r="A36" s="33" t="n">
        <v>35</v>
      </c>
      <c r="B36" s="33" t="inlineStr">
        <is>
          <t>Sold</t>
        </is>
      </c>
      <c r="C36" s="46" t="inlineStr">
        <is>
          <t>1445 Cliff Swallow Dr</t>
        </is>
      </c>
      <c r="D36" s="46" t="inlineStr">
        <is>
          <t>Patterson</t>
        </is>
      </c>
      <c r="E36" s="46" t="inlineStr">
        <is>
          <t>CA</t>
        </is>
      </c>
      <c r="F36" s="46" t="inlineStr">
        <is>
          <t>95363</t>
        </is>
      </c>
      <c r="G36" s="73" t="n">
        <v>258000</v>
      </c>
      <c r="H36" s="74" t="n">
        <v>41773</v>
      </c>
      <c r="I36" s="75" t="n">
        <v>3</v>
      </c>
      <c r="J36" s="76" t="n">
        <v>2.5</v>
      </c>
      <c r="K36" s="77" t="n">
        <v>2431</v>
      </c>
      <c r="L36" s="46" t="inlineStr">
        <is>
          <t>Buyer</t>
        </is>
      </c>
      <c r="M36" s="46" t="inlineStr">
        <is>
          <t>High - Compass property page</t>
        </is>
      </c>
      <c r="N36" s="46" t="inlineStr">
        <is>
          <t>https://www.compass.com/homedetails/1445-Cliff-Swallow-Dr-Patterson-CA-95363/1QQEL9_pid/</t>
        </is>
      </c>
      <c r="O36" s="46" t="inlineStr">
        <is>
          <t>Corrected from earlier preliminary $363,000 value.</t>
        </is>
      </c>
      <c r="P36" t="inlineStr">
        <is>
          <t>High</t>
        </is>
      </c>
      <c r="Q36" t="inlineStr">
        <is>
          <t>Buyer</t>
        </is>
      </c>
      <c r="R36" s="70" t="inlineStr">
        <is>
          <t>https://www.google.com/search?tbm=isch&amp;q=%221445+Cliff+Swallow+Dr%22+Patterson+CA+95363+house</t>
        </is>
      </c>
    </row>
    <row r="37" ht="26.39999961853027" customHeight="1" s="62">
      <c r="A37" s="33" t="n">
        <v>36</v>
      </c>
      <c r="B37" s="33" t="inlineStr">
        <is>
          <t>Sold</t>
        </is>
      </c>
      <c r="C37" s="46" t="inlineStr">
        <is>
          <t>4248 Solar Cir</t>
        </is>
      </c>
      <c r="D37" s="46" t="inlineStr">
        <is>
          <t>Union City</t>
        </is>
      </c>
      <c r="E37" s="46" t="inlineStr">
        <is>
          <t>CA</t>
        </is>
      </c>
      <c r="F37" s="46" t="inlineStr">
        <is>
          <t>94587</t>
        </is>
      </c>
      <c r="G37" s="73" t="n">
        <v>400000</v>
      </c>
      <c r="H37" s="74" t="n">
        <v>41486</v>
      </c>
      <c r="I37" s="75" t="n">
        <v>4</v>
      </c>
      <c r="J37" s="76" t="n">
        <v>2.5</v>
      </c>
      <c r="K37" s="77" t="n">
        <v>1584</v>
      </c>
      <c r="L37" s="46" t="inlineStr">
        <is>
          <t>Buyer</t>
        </is>
      </c>
      <c r="M37" s="46" t="inlineStr">
        <is>
          <t>High - Compass property page</t>
        </is>
      </c>
      <c r="N37" s="46" t="inlineStr">
        <is>
          <t>https://www.compass.com/homedetails/4248-Solar-Cir-Union-City-CA-94587/1R4EKH_pid/</t>
        </is>
      </c>
      <c r="O37" s="46" t="inlineStr">
        <is>
          <t>High-confidence corroborated record.</t>
        </is>
      </c>
      <c r="P37" t="inlineStr">
        <is>
          <t>High</t>
        </is>
      </c>
      <c r="Q37" t="inlineStr">
        <is>
          <t>Buyer</t>
        </is>
      </c>
      <c r="R37" s="70" t="inlineStr">
        <is>
          <t>https://www.google.com/search?tbm=isch&amp;q=%224248+Solar+Cir%22+Union+City+CA+94587+house</t>
        </is>
      </c>
    </row>
    <row r="38" ht="39.59999847412109" customHeight="1" s="62">
      <c r="A38" s="33" t="n">
        <v>37</v>
      </c>
      <c r="B38" s="33" t="inlineStr">
        <is>
          <t>Sold / recovered</t>
        </is>
      </c>
      <c r="C38" s="46" t="inlineStr">
        <is>
          <t>1501 S Wolfe Rd</t>
        </is>
      </c>
      <c r="D38" s="46" t="inlineStr">
        <is>
          <t>Sunnyvale</t>
        </is>
      </c>
      <c r="E38" s="46" t="inlineStr">
        <is>
          <t>CA</t>
        </is>
      </c>
      <c r="F38" s="46" t="str"/>
      <c r="G38" s="73" t="n">
        <v>2210000</v>
      </c>
      <c r="H38" s="74" t="n"/>
      <c r="I38" s="75" t="n">
        <v>5</v>
      </c>
      <c r="J38" s="76" t="n">
        <v>3.5</v>
      </c>
      <c r="K38" s="77" t="n">
        <v>2233</v>
      </c>
      <c r="L38" s="46" t="inlineStr">
        <is>
          <t>Unknown</t>
        </is>
      </c>
      <c r="M38" s="46" t="inlineStr">
        <is>
          <t>Recovered from indexed Redfin/property sources; exact row source not individually re-opened</t>
        </is>
      </c>
      <c r="N38" s="46" t="inlineStr">
        <is>
          <t>https://www.redfin.com/real-estate-agents/gurmeet-singh</t>
        </is>
      </c>
      <c r="O38" s="46" t="inlineStr">
        <is>
          <t>Historical transaction recovered during deep search; verify against MLS before publishing as authoritative.</t>
        </is>
      </c>
      <c r="P38" t="inlineStr">
        <is>
          <t>Recovered</t>
        </is>
      </c>
      <c r="Q38" t="inlineStr">
        <is>
          <t>Unknown</t>
        </is>
      </c>
      <c r="R38" s="70" t="inlineStr">
        <is>
          <t>https://www.google.com/search?tbm=isch&amp;q=%221501+S+Wolfe+Rd%22+Sunnyvale+CA+house</t>
        </is>
      </c>
    </row>
    <row r="39" ht="39.59999847412109" customHeight="1" s="62">
      <c r="A39" s="33" t="n">
        <v>38</v>
      </c>
      <c r="B39" s="33" t="inlineStr">
        <is>
          <t>Sold / recovered</t>
        </is>
      </c>
      <c r="C39" s="46" t="inlineStr">
        <is>
          <t>3477 Fawn Dr</t>
        </is>
      </c>
      <c r="D39" s="46" t="inlineStr">
        <is>
          <t>San Jose</t>
        </is>
      </c>
      <c r="E39" s="46" t="inlineStr">
        <is>
          <t>CA</t>
        </is>
      </c>
      <c r="F39" s="46" t="str"/>
      <c r="G39" s="73" t="n">
        <v>1875000</v>
      </c>
      <c r="H39" s="74" t="n"/>
      <c r="I39" s="75" t="n">
        <v>3</v>
      </c>
      <c r="J39" s="76" t="n">
        <v>2</v>
      </c>
      <c r="K39" s="77" t="n">
        <v>1676</v>
      </c>
      <c r="L39" s="46" t="inlineStr">
        <is>
          <t>Unknown</t>
        </is>
      </c>
      <c r="M39" s="46" t="inlineStr">
        <is>
          <t>Recovered from indexed Redfin/property sources; exact row source not individually re-opened</t>
        </is>
      </c>
      <c r="N39" s="46" t="inlineStr">
        <is>
          <t>https://www.redfin.com/real-estate-agents/gurmeet-singh</t>
        </is>
      </c>
      <c r="O39" s="46" t="inlineStr">
        <is>
          <t>Historical transaction recovered during deep search; verify against MLS before publishing as authoritative.</t>
        </is>
      </c>
      <c r="P39" t="inlineStr">
        <is>
          <t>Recovered</t>
        </is>
      </c>
      <c r="Q39" t="inlineStr">
        <is>
          <t>Unknown</t>
        </is>
      </c>
      <c r="R39" s="70" t="inlineStr">
        <is>
          <t>https://www.google.com/search?tbm=isch&amp;q=%223477+Fawn+Dr%22+San+Jose+CA+house</t>
        </is>
      </c>
    </row>
    <row r="40" ht="39.59999847412109" customHeight="1" s="62">
      <c r="A40" s="33" t="n">
        <v>39</v>
      </c>
      <c r="B40" s="33" t="inlineStr">
        <is>
          <t>Sold / recovered</t>
        </is>
      </c>
      <c r="C40" s="46" t="inlineStr">
        <is>
          <t>3425 Decoto Rd</t>
        </is>
      </c>
      <c r="D40" s="46" t="inlineStr">
        <is>
          <t>Fremont</t>
        </is>
      </c>
      <c r="E40" s="46" t="inlineStr">
        <is>
          <t>CA</t>
        </is>
      </c>
      <c r="F40" s="46" t="str"/>
      <c r="G40" s="73" t="n">
        <v>1725000</v>
      </c>
      <c r="H40" s="74" t="n"/>
      <c r="I40" s="75" t="n">
        <v>6</v>
      </c>
      <c r="J40" s="76" t="n">
        <v>4</v>
      </c>
      <c r="K40" s="77" t="n">
        <v>2064</v>
      </c>
      <c r="L40" s="46" t="inlineStr">
        <is>
          <t>Unknown</t>
        </is>
      </c>
      <c r="M40" s="46" t="inlineStr">
        <is>
          <t>Recovered from indexed Redfin/property sources; exact row source not individually re-opened</t>
        </is>
      </c>
      <c r="N40" s="46" t="inlineStr">
        <is>
          <t>https://www.redfin.com/real-estate-agents/gurmeet-singh</t>
        </is>
      </c>
      <c r="O40" s="46" t="inlineStr">
        <is>
          <t>Historical transaction recovered during deep search; verify against MLS before publishing as authoritative.</t>
        </is>
      </c>
      <c r="P40" t="inlineStr">
        <is>
          <t>Recovered</t>
        </is>
      </c>
      <c r="Q40" t="inlineStr">
        <is>
          <t>Unknown</t>
        </is>
      </c>
      <c r="R40" s="70" t="inlineStr">
        <is>
          <t>https://www.google.com/search?tbm=isch&amp;q=%223425+Decoto+Rd%22+Fremont+CA+house</t>
        </is>
      </c>
    </row>
    <row r="41" ht="39.59999847412109" customHeight="1" s="62">
      <c r="A41" s="33" t="n">
        <v>40</v>
      </c>
      <c r="B41" s="33" t="inlineStr">
        <is>
          <t>Sold / recovered</t>
        </is>
      </c>
      <c r="C41" s="46" t="inlineStr">
        <is>
          <t>5061 Admiral Cmn</t>
        </is>
      </c>
      <c r="D41" s="46" t="inlineStr">
        <is>
          <t>Fremont</t>
        </is>
      </c>
      <c r="E41" s="46" t="inlineStr">
        <is>
          <t>CA</t>
        </is>
      </c>
      <c r="F41" s="46" t="str"/>
      <c r="G41" s="73" t="n">
        <v>1408387</v>
      </c>
      <c r="H41" s="74" t="n"/>
      <c r="I41" s="75" t="n">
        <v>3</v>
      </c>
      <c r="J41" s="76" t="n">
        <v>2.5</v>
      </c>
      <c r="K41" s="77" t="n">
        <v>1843</v>
      </c>
      <c r="L41" s="46" t="inlineStr">
        <is>
          <t>Unknown</t>
        </is>
      </c>
      <c r="M41" s="46" t="inlineStr">
        <is>
          <t>Recovered from indexed Redfin/property sources; exact row source not individually re-opened</t>
        </is>
      </c>
      <c r="N41" s="46" t="inlineStr">
        <is>
          <t>https://www.redfin.com/real-estate-agents/gurmeet-singh</t>
        </is>
      </c>
      <c r="O41" s="46" t="inlineStr">
        <is>
          <t>Historical transaction recovered during deep search; verify against MLS before publishing as authoritative.</t>
        </is>
      </c>
      <c r="P41" t="inlineStr">
        <is>
          <t>Recovered</t>
        </is>
      </c>
      <c r="Q41" t="inlineStr">
        <is>
          <t>Unknown</t>
        </is>
      </c>
      <c r="R41" s="70" t="inlineStr">
        <is>
          <t>https://www.google.com/search?tbm=isch&amp;q=%225061+Admiral+Cmn%22+Fremont+CA+house</t>
        </is>
      </c>
    </row>
    <row r="42" ht="26.39999961853027" customHeight="1" s="62">
      <c r="A42" s="33" t="n">
        <v>41</v>
      </c>
      <c r="B42" s="33" t="inlineStr">
        <is>
          <t>Sold</t>
        </is>
      </c>
      <c r="C42" s="46" t="inlineStr">
        <is>
          <t>4682 Burke Dr</t>
        </is>
      </c>
      <c r="D42" s="46" t="inlineStr">
        <is>
          <t>Santa Clara</t>
        </is>
      </c>
      <c r="E42" s="46" t="inlineStr">
        <is>
          <t>CA</t>
        </is>
      </c>
      <c r="F42" s="46" t="inlineStr">
        <is>
          <t>95054</t>
        </is>
      </c>
      <c r="G42" s="73" t="n">
        <v>1405000</v>
      </c>
      <c r="H42" s="74" t="n"/>
      <c r="I42" s="75" t="n"/>
      <c r="J42" s="76" t="n"/>
      <c r="K42" s="77" t="n"/>
      <c r="L42" s="46" t="inlineStr">
        <is>
          <t>Seller / listing</t>
        </is>
      </c>
      <c r="M42" s="46" t="inlineStr">
        <is>
          <t>High - property brokerage record</t>
        </is>
      </c>
      <c r="N42" s="46" t="inlineStr">
        <is>
          <t>https://berkhills.com/properties/CA/Santa-Clara/95054/10168/4682-burke-dr-santa-clara-ca-95054/482545605</t>
        </is>
      </c>
      <c r="O42" s="46" t="inlineStr">
        <is>
          <t>2021 transaction.</t>
        </is>
      </c>
      <c r="P42" t="inlineStr">
        <is>
          <t>High</t>
        </is>
      </c>
      <c r="Q42" t="inlineStr">
        <is>
          <t>Seller</t>
        </is>
      </c>
      <c r="R42" s="70" t="inlineStr">
        <is>
          <t>https://www.google.com/search?tbm=isch&amp;q=%224682+Burke+Dr%22+Santa+Clara+CA+95054+house</t>
        </is>
      </c>
    </row>
    <row r="43" ht="39.59999847412109" customHeight="1" s="62">
      <c r="A43" s="33" t="n">
        <v>42</v>
      </c>
      <c r="B43" s="33" t="inlineStr">
        <is>
          <t>Sold / recovered</t>
        </is>
      </c>
      <c r="C43" s="46" t="inlineStr">
        <is>
          <t>196 Benbow Ave</t>
        </is>
      </c>
      <c r="D43" s="46" t="inlineStr">
        <is>
          <t>San Jose</t>
        </is>
      </c>
      <c r="E43" s="46" t="inlineStr">
        <is>
          <t>CA</t>
        </is>
      </c>
      <c r="F43" s="46" t="str"/>
      <c r="G43" s="73" t="n">
        <v>1362500</v>
      </c>
      <c r="H43" s="74" t="n"/>
      <c r="I43" s="75" t="n">
        <v>4</v>
      </c>
      <c r="J43" s="76" t="n">
        <v>2.5</v>
      </c>
      <c r="K43" s="77" t="n">
        <v>2186</v>
      </c>
      <c r="L43" s="46" t="inlineStr">
        <is>
          <t>Unknown</t>
        </is>
      </c>
      <c r="M43" s="46" t="inlineStr">
        <is>
          <t>Recovered from indexed Redfin/property sources; exact row source not individually re-opened</t>
        </is>
      </c>
      <c r="N43" s="46" t="inlineStr">
        <is>
          <t>https://www.redfin.com/real-estate-agents/gurmeet-singh</t>
        </is>
      </c>
      <c r="O43" s="46" t="inlineStr">
        <is>
          <t>Historical transaction recovered during deep search; verify against MLS before publishing as authoritative.</t>
        </is>
      </c>
      <c r="P43" t="inlineStr">
        <is>
          <t>Recovered</t>
        </is>
      </c>
      <c r="Q43" t="inlineStr">
        <is>
          <t>Unknown</t>
        </is>
      </c>
      <c r="R43" s="70" t="inlineStr">
        <is>
          <t>https://www.google.com/search?tbm=isch&amp;q=%22196+Benbow+Ave%22+San+Jose+CA+house</t>
        </is>
      </c>
    </row>
    <row r="44" ht="26.39999961853027" customHeight="1" s="62">
      <c r="A44" s="33" t="n">
        <v>43</v>
      </c>
      <c r="B44" s="33" t="inlineStr">
        <is>
          <t>Sold</t>
        </is>
      </c>
      <c r="C44" s="46" t="inlineStr">
        <is>
          <t>6059 Golden Vista Dr</t>
        </is>
      </c>
      <c r="D44" s="46" t="inlineStr">
        <is>
          <t>San Jose</t>
        </is>
      </c>
      <c r="E44" s="46" t="inlineStr">
        <is>
          <t>CA</t>
        </is>
      </c>
      <c r="F44" s="46" t="inlineStr">
        <is>
          <t>95123</t>
        </is>
      </c>
      <c r="G44" s="73" t="n">
        <v>1337000</v>
      </c>
      <c r="H44" s="74" t="n"/>
      <c r="I44" s="75" t="n">
        <v>3</v>
      </c>
      <c r="J44" s="76" t="n">
        <v>2.5</v>
      </c>
      <c r="K44" s="77" t="n">
        <v>1804</v>
      </c>
      <c r="L44" s="46" t="inlineStr">
        <is>
          <t>Buyer</t>
        </is>
      </c>
      <c r="M44" s="46" t="inlineStr">
        <is>
          <t>High - Redfin property page</t>
        </is>
      </c>
      <c r="N44" s="46" t="inlineStr">
        <is>
          <t>https://www.redfin.com/CA/San-Jose/6059-Golden-Vista-Dr-95123/home/95957917</t>
        </is>
      </c>
      <c r="O44" s="46" t="inlineStr">
        <is>
          <t>Nov 2021 transaction; exact day not captured.</t>
        </is>
      </c>
      <c r="P44" t="inlineStr">
        <is>
          <t>High</t>
        </is>
      </c>
      <c r="Q44" t="inlineStr">
        <is>
          <t>Buyer</t>
        </is>
      </c>
      <c r="R44" s="70" t="inlineStr">
        <is>
          <t>https://www.google.com/search?tbm=isch&amp;q=%226059+Golden+Vista+Dr%22+San+Jose+CA+95123+house</t>
        </is>
      </c>
    </row>
    <row r="45" ht="39.59999847412109" customHeight="1" s="62">
      <c r="A45" s="33" t="n">
        <v>44</v>
      </c>
      <c r="B45" s="33" t="inlineStr">
        <is>
          <t>Sold / recovered</t>
        </is>
      </c>
      <c r="C45" s="46" t="inlineStr">
        <is>
          <t>29215 States St</t>
        </is>
      </c>
      <c r="D45" s="46" t="inlineStr">
        <is>
          <t>Hayward</t>
        </is>
      </c>
      <c r="E45" s="46" t="inlineStr">
        <is>
          <t>CA</t>
        </is>
      </c>
      <c r="F45" s="46" t="str"/>
      <c r="G45" s="73" t="n">
        <v>1300000</v>
      </c>
      <c r="H45" s="74" t="n"/>
      <c r="I45" s="75" t="n">
        <v>4</v>
      </c>
      <c r="J45" s="76" t="n">
        <v>2.5</v>
      </c>
      <c r="K45" s="77" t="n">
        <v>1920</v>
      </c>
      <c r="L45" s="46" t="inlineStr">
        <is>
          <t>Unknown</t>
        </is>
      </c>
      <c r="M45" s="46" t="inlineStr">
        <is>
          <t>Recovered from indexed Redfin/property sources; exact row source not individually re-opened</t>
        </is>
      </c>
      <c r="N45" s="46" t="inlineStr">
        <is>
          <t>https://www.redfin.com/real-estate-agents/gurmeet-singh</t>
        </is>
      </c>
      <c r="O45" s="46" t="inlineStr">
        <is>
          <t>Historical transaction recovered during deep search; verify against MLS before publishing as authoritative.</t>
        </is>
      </c>
      <c r="P45" t="inlineStr">
        <is>
          <t>Recovered</t>
        </is>
      </c>
      <c r="Q45" t="inlineStr">
        <is>
          <t>Unknown</t>
        </is>
      </c>
      <c r="R45" s="70" t="inlineStr">
        <is>
          <t>https://www.google.com/search?tbm=isch&amp;q=%2229215+States+St%22+Hayward+CA+house</t>
        </is>
      </c>
    </row>
    <row r="46" ht="26.39999961853027" customHeight="1" s="62">
      <c r="A46" s="33" t="n">
        <v>45</v>
      </c>
      <c r="B46" s="33" t="inlineStr">
        <is>
          <t>Sold</t>
        </is>
      </c>
      <c r="C46" s="46" t="inlineStr">
        <is>
          <t>37256 Saint Mary St</t>
        </is>
      </c>
      <c r="D46" s="46" t="inlineStr">
        <is>
          <t>Newark</t>
        </is>
      </c>
      <c r="E46" s="46" t="inlineStr">
        <is>
          <t>CA</t>
        </is>
      </c>
      <c r="F46" s="46" t="inlineStr">
        <is>
          <t>94560</t>
        </is>
      </c>
      <c r="G46" s="73" t="n">
        <v>1246000</v>
      </c>
      <c r="H46" s="74" t="n"/>
      <c r="I46" s="75" t="n">
        <v>3</v>
      </c>
      <c r="J46" s="76" t="n">
        <v>2</v>
      </c>
      <c r="K46" s="77" t="n">
        <v>1114</v>
      </c>
      <c r="L46" s="46" t="inlineStr">
        <is>
          <t>Both listing and buyer</t>
        </is>
      </c>
      <c r="M46" s="46" t="inlineStr">
        <is>
          <t>High - Redfin property page</t>
        </is>
      </c>
      <c r="N46" s="46" t="inlineStr">
        <is>
          <t>https://www.redfin.com/CA/Newark/37256-Saint-Mary-St-94560/home/1274793</t>
        </is>
      </c>
      <c r="O46" s="46" t="inlineStr">
        <is>
          <t>2022 transaction; exact date not captured in this pass.</t>
        </is>
      </c>
      <c r="P46" t="inlineStr">
        <is>
          <t>High</t>
        </is>
      </c>
      <c r="Q46" t="inlineStr">
        <is>
          <t>Both</t>
        </is>
      </c>
      <c r="R46" s="70" t="inlineStr">
        <is>
          <t>https://www.google.com/search?tbm=isch&amp;q=%2237256+Saint+Mary+St%22+Newark+CA+94560+house</t>
        </is>
      </c>
    </row>
    <row r="47" ht="39.59999847412109" customHeight="1" s="62">
      <c r="A47" s="33" t="n">
        <v>46</v>
      </c>
      <c r="B47" s="33" t="inlineStr">
        <is>
          <t>Sold / recovered</t>
        </is>
      </c>
      <c r="C47" s="46" t="inlineStr">
        <is>
          <t>2205 Menzel Pl</t>
        </is>
      </c>
      <c r="D47" s="46" t="inlineStr">
        <is>
          <t>Santa Clara</t>
        </is>
      </c>
      <c r="E47" s="46" t="inlineStr">
        <is>
          <t>CA</t>
        </is>
      </c>
      <c r="F47" s="46" t="str"/>
      <c r="G47" s="73" t="n">
        <v>1210000</v>
      </c>
      <c r="H47" s="74" t="n"/>
      <c r="I47" s="75" t="n">
        <v>3</v>
      </c>
      <c r="J47" s="76" t="n">
        <v>2</v>
      </c>
      <c r="K47" s="77" t="n">
        <v>1400</v>
      </c>
      <c r="L47" s="46" t="inlineStr">
        <is>
          <t>Unknown</t>
        </is>
      </c>
      <c r="M47" s="46" t="inlineStr">
        <is>
          <t>Recovered from indexed Redfin/property sources; exact row source not individually re-opened</t>
        </is>
      </c>
      <c r="N47" s="46" t="inlineStr">
        <is>
          <t>https://www.redfin.com/real-estate-agents/gurmeet-singh</t>
        </is>
      </c>
      <c r="O47" s="46" t="inlineStr">
        <is>
          <t>Historical transaction recovered during deep search; verify against MLS before publishing as authoritative.</t>
        </is>
      </c>
      <c r="P47" t="inlineStr">
        <is>
          <t>Recovered</t>
        </is>
      </c>
      <c r="Q47" t="inlineStr">
        <is>
          <t>Unknown</t>
        </is>
      </c>
      <c r="R47" s="70" t="inlineStr">
        <is>
          <t>https://www.google.com/search?tbm=isch&amp;q=%222205+Menzel+Pl%22+Santa+Clara+CA+house</t>
        </is>
      </c>
    </row>
    <row r="48" ht="39.59999847412109" customHeight="1" s="62">
      <c r="A48" s="33" t="n">
        <v>47</v>
      </c>
      <c r="B48" s="33" t="inlineStr">
        <is>
          <t>Sold / recovered</t>
        </is>
      </c>
      <c r="C48" s="46" t="inlineStr">
        <is>
          <t>689 Los Alamos Ave</t>
        </is>
      </c>
      <c r="D48" s="46" t="inlineStr">
        <is>
          <t>Livermore</t>
        </is>
      </c>
      <c r="E48" s="46" t="inlineStr">
        <is>
          <t>CA</t>
        </is>
      </c>
      <c r="F48" s="46" t="str"/>
      <c r="G48" s="73" t="n">
        <v>1160000</v>
      </c>
      <c r="H48" s="74" t="n"/>
      <c r="I48" s="75" t="n">
        <v>3</v>
      </c>
      <c r="J48" s="76" t="n">
        <v>1.5</v>
      </c>
      <c r="K48" s="77" t="n">
        <v>1764</v>
      </c>
      <c r="L48" s="46" t="inlineStr">
        <is>
          <t>Unknown</t>
        </is>
      </c>
      <c r="M48" s="46" t="inlineStr">
        <is>
          <t>Recovered from indexed Redfin/property sources; exact row source not individually re-opened</t>
        </is>
      </c>
      <c r="N48" s="46" t="inlineStr">
        <is>
          <t>https://www.redfin.com/real-estate-agents/gurmeet-singh</t>
        </is>
      </c>
      <c r="O48" s="46" t="inlineStr">
        <is>
          <t>Historical transaction recovered during deep search; verify against MLS before publishing as authoritative.</t>
        </is>
      </c>
      <c r="P48" t="inlineStr">
        <is>
          <t>Recovered</t>
        </is>
      </c>
      <c r="Q48" t="inlineStr">
        <is>
          <t>Unknown</t>
        </is>
      </c>
      <c r="R48" s="70" t="inlineStr">
        <is>
          <t>https://www.google.com/search?tbm=isch&amp;q=%22689+Los+Alamos+Ave%22+Livermore+CA+house</t>
        </is>
      </c>
    </row>
    <row r="49" ht="39.59999847412109" customHeight="1" s="62">
      <c r="A49" s="33" t="n">
        <v>48</v>
      </c>
      <c r="B49" s="33" t="inlineStr">
        <is>
          <t>Sold / recovered</t>
        </is>
      </c>
      <c r="C49" s="46" t="inlineStr">
        <is>
          <t>2388 Shoreside Ct</t>
        </is>
      </c>
      <c r="D49" s="46" t="inlineStr">
        <is>
          <t>Santa Clara</t>
        </is>
      </c>
      <c r="E49" s="46" t="inlineStr">
        <is>
          <t>CA</t>
        </is>
      </c>
      <c r="F49" s="46" t="str"/>
      <c r="G49" s="73" t="n">
        <v>1085000</v>
      </c>
      <c r="H49" s="74" t="n"/>
      <c r="I49" s="75" t="n">
        <v>4</v>
      </c>
      <c r="J49" s="76" t="n">
        <v>2.5</v>
      </c>
      <c r="K49" s="77" t="n">
        <v>1800</v>
      </c>
      <c r="L49" s="46" t="inlineStr">
        <is>
          <t>Unknown</t>
        </is>
      </c>
      <c r="M49" s="46" t="inlineStr">
        <is>
          <t>Recovered from indexed Redfin/property sources; exact row source not individually re-opened</t>
        </is>
      </c>
      <c r="N49" s="46" t="inlineStr">
        <is>
          <t>https://www.redfin.com/real-estate-agents/gurmeet-singh</t>
        </is>
      </c>
      <c r="O49" s="46" t="inlineStr">
        <is>
          <t>Historical transaction recovered during deep search; verify against MLS before publishing as authoritative.</t>
        </is>
      </c>
      <c r="P49" t="inlineStr">
        <is>
          <t>Recovered</t>
        </is>
      </c>
      <c r="Q49" t="inlineStr">
        <is>
          <t>Unknown</t>
        </is>
      </c>
      <c r="R49" s="70" t="inlineStr">
        <is>
          <t>https://www.google.com/search?tbm=isch&amp;q=%222388+Shoreside+Ct%22+Santa+Clara+CA+house</t>
        </is>
      </c>
    </row>
    <row r="50" ht="39.59999847412109" customHeight="1" s="62">
      <c r="A50" s="33" t="n">
        <v>49</v>
      </c>
      <c r="B50" s="33" t="inlineStr">
        <is>
          <t>Sold / recovered</t>
        </is>
      </c>
      <c r="C50" s="46" t="inlineStr">
        <is>
          <t>4066 Grama Ter</t>
        </is>
      </c>
      <c r="D50" s="46" t="inlineStr">
        <is>
          <t>Fremont</t>
        </is>
      </c>
      <c r="E50" s="46" t="inlineStr">
        <is>
          <t>CA</t>
        </is>
      </c>
      <c r="F50" s="46" t="str"/>
      <c r="G50" s="73" t="n">
        <v>1085000</v>
      </c>
      <c r="H50" s="74" t="n"/>
      <c r="I50" s="75" t="n">
        <v>3</v>
      </c>
      <c r="J50" s="76" t="n">
        <v>1.5</v>
      </c>
      <c r="K50" s="77" t="n">
        <v>1390</v>
      </c>
      <c r="L50" s="46" t="inlineStr">
        <is>
          <t>Unknown</t>
        </is>
      </c>
      <c r="M50" s="46" t="inlineStr">
        <is>
          <t>Recovered from indexed Redfin/property sources; exact row source not individually re-opened</t>
        </is>
      </c>
      <c r="N50" s="46" t="inlineStr">
        <is>
          <t>https://www.redfin.com/real-estate-agents/gurmeet-singh</t>
        </is>
      </c>
      <c r="O50" s="46" t="inlineStr">
        <is>
          <t>Historical transaction recovered during deep search; verify against MLS before publishing as authoritative.</t>
        </is>
      </c>
      <c r="P50" t="inlineStr">
        <is>
          <t>Recovered</t>
        </is>
      </c>
      <c r="Q50" t="inlineStr">
        <is>
          <t>Unknown</t>
        </is>
      </c>
      <c r="R50" s="70" t="inlineStr">
        <is>
          <t>https://www.google.com/search?tbm=isch&amp;q=%224066+Grama+Ter%22+Fremont+CA+house</t>
        </is>
      </c>
    </row>
    <row r="51">
      <c r="A51" s="33" t="n">
        <v>50</v>
      </c>
      <c r="B51" s="33" t="inlineStr">
        <is>
          <t>Sold / recovered</t>
        </is>
      </c>
      <c r="C51" s="46" t="inlineStr">
        <is>
          <t>36502 Dijon Dr</t>
        </is>
      </c>
      <c r="D51" s="46" t="inlineStr">
        <is>
          <t>Newark</t>
        </is>
      </c>
      <c r="E51" s="46" t="inlineStr">
        <is>
          <t>CA</t>
        </is>
      </c>
      <c r="F51" s="46" t="str"/>
      <c r="G51" s="73" t="n">
        <v>1030000</v>
      </c>
      <c r="H51" s="74" t="n"/>
      <c r="I51" s="75" t="n">
        <v>5</v>
      </c>
      <c r="J51" s="76" t="n">
        <v>3</v>
      </c>
      <c r="K51" s="77" t="n">
        <v>2591</v>
      </c>
      <c r="L51" s="46" t="inlineStr">
        <is>
          <t>Unknown</t>
        </is>
      </c>
      <c r="M51" s="46" t="inlineStr">
        <is>
          <t>Recovered from indexed Redfin/property sources; exact row source not individually re-opened</t>
        </is>
      </c>
      <c r="N51" s="46" t="inlineStr">
        <is>
          <t>https://www.redfin.com/real-estate-agents/gurmeet-singh</t>
        </is>
      </c>
      <c r="O51" s="46" t="inlineStr">
        <is>
          <t>Historical transaction recovered during deep search; verify against MLS before publishing as authoritative.</t>
        </is>
      </c>
      <c r="P51" t="inlineStr">
        <is>
          <t>Recovered</t>
        </is>
      </c>
      <c r="Q51" t="inlineStr">
        <is>
          <t>Unknown</t>
        </is>
      </c>
      <c r="R51" s="70" t="inlineStr">
        <is>
          <t>https://www.google.com/search?tbm=isch&amp;q=%2236502+Dijon+Dr%22+Newark+CA+house</t>
        </is>
      </c>
    </row>
    <row r="52">
      <c r="A52" s="33" t="n">
        <v>51</v>
      </c>
      <c r="B52" s="33" t="inlineStr">
        <is>
          <t>Sold / recovered</t>
        </is>
      </c>
      <c r="C52" s="46" t="inlineStr">
        <is>
          <t>5034 Bronte Ct</t>
        </is>
      </c>
      <c r="D52" s="46" t="inlineStr">
        <is>
          <t>Fremont</t>
        </is>
      </c>
      <c r="E52" s="46" t="inlineStr">
        <is>
          <t>CA</t>
        </is>
      </c>
      <c r="F52" s="46" t="str"/>
      <c r="G52" s="73" t="n">
        <v>1001000</v>
      </c>
      <c r="H52" s="74" t="n"/>
      <c r="I52" s="75" t="n">
        <v>4</v>
      </c>
      <c r="J52" s="76" t="n">
        <v>2</v>
      </c>
      <c r="K52" s="77" t="n">
        <v>1854</v>
      </c>
      <c r="L52" s="46" t="inlineStr">
        <is>
          <t>Unknown</t>
        </is>
      </c>
      <c r="M52" s="46" t="inlineStr">
        <is>
          <t>Recovered from indexed Redfin/property sources; exact row source not individually re-opened</t>
        </is>
      </c>
      <c r="N52" s="46" t="inlineStr">
        <is>
          <t>https://www.redfin.com/real-estate-agents/gurmeet-singh</t>
        </is>
      </c>
      <c r="O52" s="46" t="inlineStr">
        <is>
          <t>Historical transaction recovered during deep search; verify against MLS before publishing as authoritative.</t>
        </is>
      </c>
      <c r="P52" t="inlineStr">
        <is>
          <t>Recovered</t>
        </is>
      </c>
      <c r="Q52" t="inlineStr">
        <is>
          <t>Unknown</t>
        </is>
      </c>
      <c r="R52" s="70" t="inlineStr">
        <is>
          <t>https://www.google.com/search?tbm=isch&amp;q=%225034+Bronte+Ct%22+Fremont+CA+house</t>
        </is>
      </c>
    </row>
    <row r="53">
      <c r="A53" s="33" t="n">
        <v>52</v>
      </c>
      <c r="B53" s="33" t="inlineStr">
        <is>
          <t>Sold / recovered</t>
        </is>
      </c>
      <c r="C53" s="46" t="inlineStr">
        <is>
          <t>4250 Comet Cir</t>
        </is>
      </c>
      <c r="D53" s="46" t="inlineStr">
        <is>
          <t>Union City</t>
        </is>
      </c>
      <c r="E53" s="46" t="inlineStr">
        <is>
          <t>CA</t>
        </is>
      </c>
      <c r="F53" s="46" t="str"/>
      <c r="G53" s="73" t="n">
        <v>835000</v>
      </c>
      <c r="H53" s="74" t="n"/>
      <c r="I53" s="75" t="n">
        <v>3</v>
      </c>
      <c r="J53" s="76" t="n">
        <v>1.5</v>
      </c>
      <c r="K53" s="77" t="n">
        <v>1125</v>
      </c>
      <c r="L53" s="46" t="inlineStr">
        <is>
          <t>Unknown</t>
        </is>
      </c>
      <c r="M53" s="46" t="inlineStr">
        <is>
          <t>Recovered from indexed Redfin/property sources; exact row source not individually re-opened</t>
        </is>
      </c>
      <c r="N53" s="46" t="inlineStr">
        <is>
          <t>https://www.redfin.com/real-estate-agents/gurmeet-singh</t>
        </is>
      </c>
      <c r="O53" s="46" t="inlineStr">
        <is>
          <t>Historical transaction recovered during deep search; verify against MLS before publishing as authoritative.</t>
        </is>
      </c>
      <c r="P53" t="inlineStr">
        <is>
          <t>Recovered</t>
        </is>
      </c>
      <c r="Q53" t="inlineStr">
        <is>
          <t>Unknown</t>
        </is>
      </c>
      <c r="R53" s="70" t="inlineStr">
        <is>
          <t>https://www.google.com/search?tbm=isch&amp;q=%224250+Comet+Cir%22+Union+City+CA+house</t>
        </is>
      </c>
    </row>
    <row r="54">
      <c r="A54" s="33" t="n">
        <v>53</v>
      </c>
      <c r="B54" s="33" t="inlineStr">
        <is>
          <t>Sold / recovered</t>
        </is>
      </c>
      <c r="C54" s="46" t="inlineStr">
        <is>
          <t>8680 Bandon Dr</t>
        </is>
      </c>
      <c r="D54" s="46" t="inlineStr">
        <is>
          <t>Dublin</t>
        </is>
      </c>
      <c r="E54" s="46" t="inlineStr">
        <is>
          <t>CA</t>
        </is>
      </c>
      <c r="F54" s="46" t="str"/>
      <c r="G54" s="73" t="n">
        <v>795800</v>
      </c>
      <c r="H54" s="74" t="n"/>
      <c r="I54" s="75" t="n">
        <v>3</v>
      </c>
      <c r="J54" s="76" t="n">
        <v>2</v>
      </c>
      <c r="K54" s="77" t="n">
        <v>1424</v>
      </c>
      <c r="L54" s="46" t="inlineStr">
        <is>
          <t>Unknown</t>
        </is>
      </c>
      <c r="M54" s="46" t="inlineStr">
        <is>
          <t>Recovered from indexed Redfin/property sources; exact row source not individually re-opened</t>
        </is>
      </c>
      <c r="N54" s="46" t="inlineStr">
        <is>
          <t>https://www.redfin.com/real-estate-agents/gurmeet-singh</t>
        </is>
      </c>
      <c r="O54" s="46" t="inlineStr">
        <is>
          <t>Historical transaction recovered during deep search; verify against MLS before publishing as authoritative.</t>
        </is>
      </c>
      <c r="P54" t="inlineStr">
        <is>
          <t>Recovered</t>
        </is>
      </c>
      <c r="Q54" t="inlineStr">
        <is>
          <t>Unknown</t>
        </is>
      </c>
      <c r="R54" s="70" t="inlineStr">
        <is>
          <t>https://www.google.com/search?tbm=isch&amp;q=%228680+Bandon+Dr%22+Dublin+CA+house</t>
        </is>
      </c>
    </row>
    <row r="55">
      <c r="A55" s="33" t="n">
        <v>54</v>
      </c>
      <c r="B55" s="33" t="inlineStr">
        <is>
          <t>Sold / recovered</t>
        </is>
      </c>
      <c r="C55" s="46" t="inlineStr">
        <is>
          <t>3806 Amy Ct</t>
        </is>
      </c>
      <c r="D55" s="46" t="inlineStr">
        <is>
          <t>Union City</t>
        </is>
      </c>
      <c r="E55" s="46" t="inlineStr">
        <is>
          <t>CA</t>
        </is>
      </c>
      <c r="F55" s="46" t="str"/>
      <c r="G55" s="73" t="n">
        <v>755000</v>
      </c>
      <c r="H55" s="74" t="n"/>
      <c r="I55" s="75" t="n">
        <v>4</v>
      </c>
      <c r="J55" s="76" t="n">
        <v>2.5</v>
      </c>
      <c r="K55" s="77" t="n">
        <v>1432</v>
      </c>
      <c r="L55" s="46" t="inlineStr">
        <is>
          <t>Unknown</t>
        </is>
      </c>
      <c r="M55" s="46" t="inlineStr">
        <is>
          <t>Recovered from indexed Redfin/property sources; exact row source not individually re-opened</t>
        </is>
      </c>
      <c r="N55" s="46" t="inlineStr">
        <is>
          <t>https://www.redfin.com/real-estate-agents/gurmeet-singh</t>
        </is>
      </c>
      <c r="O55" s="46" t="inlineStr">
        <is>
          <t>Historical transaction recovered during deep search; verify against MLS before publishing as authoritative.</t>
        </is>
      </c>
      <c r="P55" t="inlineStr">
        <is>
          <t>Recovered</t>
        </is>
      </c>
      <c r="Q55" t="inlineStr">
        <is>
          <t>Unknown</t>
        </is>
      </c>
      <c r="R55" s="70" t="inlineStr">
        <is>
          <t>https://www.google.com/search?tbm=isch&amp;q=%223806+Amy+Ct%22+Union+City+CA+house</t>
        </is>
      </c>
    </row>
    <row r="56">
      <c r="A56" s="33" t="n">
        <v>55</v>
      </c>
      <c r="B56" s="33" t="inlineStr">
        <is>
          <t>Sold / recovered</t>
        </is>
      </c>
      <c r="C56" s="46" t="inlineStr">
        <is>
          <t>27720 Seminole Way</t>
        </is>
      </c>
      <c r="D56" s="46" t="inlineStr">
        <is>
          <t>Hayward</t>
        </is>
      </c>
      <c r="E56" s="46" t="inlineStr">
        <is>
          <t>CA</t>
        </is>
      </c>
      <c r="F56" s="46" t="str"/>
      <c r="G56" s="73" t="n">
        <v>750000</v>
      </c>
      <c r="H56" s="74" t="n"/>
      <c r="I56" s="75" t="n">
        <v>4</v>
      </c>
      <c r="J56" s="76" t="n">
        <v>2</v>
      </c>
      <c r="K56" s="77" t="n"/>
      <c r="L56" s="46" t="inlineStr">
        <is>
          <t>Unknown</t>
        </is>
      </c>
      <c r="M56" s="46" t="inlineStr">
        <is>
          <t>Recovered from indexed Redfin/property sources; exact row source not individually re-opened</t>
        </is>
      </c>
      <c r="N56" s="46" t="inlineStr">
        <is>
          <t>https://www.redfin.com/real-estate-agents/gurmeet-singh</t>
        </is>
      </c>
      <c r="O56" s="46" t="inlineStr">
        <is>
          <t>Historical transaction recovered during deep search; verify against MLS before publishing as authoritative.</t>
        </is>
      </c>
      <c r="P56" t="inlineStr">
        <is>
          <t>Recovered</t>
        </is>
      </c>
      <c r="Q56" t="inlineStr">
        <is>
          <t>Unknown</t>
        </is>
      </c>
      <c r="R56" s="70" t="inlineStr">
        <is>
          <t>https://www.google.com/search?tbm=isch&amp;q=%2227720+Seminole+Way%22+Hayward+CA+house</t>
        </is>
      </c>
    </row>
    <row r="57">
      <c r="A57" s="33" t="n">
        <v>56</v>
      </c>
      <c r="B57" s="33" t="inlineStr">
        <is>
          <t>Sold / recovered</t>
        </is>
      </c>
      <c r="C57" s="46" t="inlineStr">
        <is>
          <t>4718 Bonsai Ave</t>
        </is>
      </c>
      <c r="D57" s="46" t="inlineStr">
        <is>
          <t>Tracy</t>
        </is>
      </c>
      <c r="E57" s="46" t="inlineStr">
        <is>
          <t>CA</t>
        </is>
      </c>
      <c r="F57" s="46" t="str"/>
      <c r="G57" s="73" t="n">
        <v>729100</v>
      </c>
      <c r="H57" s="74" t="n"/>
      <c r="I57" s="75" t="n">
        <v>3</v>
      </c>
      <c r="J57" s="76" t="n">
        <v>2.5</v>
      </c>
      <c r="K57" s="77" t="n">
        <v>1858</v>
      </c>
      <c r="L57" s="46" t="inlineStr">
        <is>
          <t>Unknown</t>
        </is>
      </c>
      <c r="M57" s="46" t="inlineStr">
        <is>
          <t>Recovered from indexed Redfin/property sources; exact row source not individually re-opened</t>
        </is>
      </c>
      <c r="N57" s="46" t="inlineStr">
        <is>
          <t>https://www.redfin.com/real-estate-agents/gurmeet-singh</t>
        </is>
      </c>
      <c r="O57" s="46" t="inlineStr">
        <is>
          <t>Historical transaction recovered during deep search; verify against MLS before publishing as authoritative.</t>
        </is>
      </c>
      <c r="P57" t="inlineStr">
        <is>
          <t>Recovered</t>
        </is>
      </c>
      <c r="Q57" t="inlineStr">
        <is>
          <t>Unknown</t>
        </is>
      </c>
      <c r="R57" s="70" t="inlineStr">
        <is>
          <t>https://www.google.com/search?tbm=isch&amp;q=%224718+Bonsai+Ave%22+Tracy+CA+house</t>
        </is>
      </c>
    </row>
    <row r="58">
      <c r="A58" s="33" t="n">
        <v>57</v>
      </c>
      <c r="B58" s="33" t="inlineStr">
        <is>
          <t>Sold / recovered</t>
        </is>
      </c>
      <c r="C58" s="46" t="inlineStr">
        <is>
          <t>929 Pendleton Ct</t>
        </is>
      </c>
      <c r="D58" s="46" t="inlineStr">
        <is>
          <t>Oakley</t>
        </is>
      </c>
      <c r="E58" s="46" t="inlineStr">
        <is>
          <t>CA</t>
        </is>
      </c>
      <c r="F58" s="46" t="str"/>
      <c r="G58" s="73" t="n">
        <v>725000</v>
      </c>
      <c r="H58" s="74" t="n"/>
      <c r="I58" s="75" t="n">
        <v>5</v>
      </c>
      <c r="J58" s="76" t="n">
        <v>3</v>
      </c>
      <c r="K58" s="77" t="n">
        <v>2872</v>
      </c>
      <c r="L58" s="46" t="inlineStr">
        <is>
          <t>Unknown</t>
        </is>
      </c>
      <c r="M58" s="46" t="inlineStr">
        <is>
          <t>Recovered from indexed Redfin/property sources; exact row source not individually re-opened</t>
        </is>
      </c>
      <c r="N58" s="46" t="inlineStr">
        <is>
          <t>https://www.redfin.com/real-estate-agents/gurmeet-singh</t>
        </is>
      </c>
      <c r="O58" s="46" t="inlineStr">
        <is>
          <t>Historical transaction recovered during deep search; verify against MLS before publishing as authoritative.</t>
        </is>
      </c>
      <c r="P58" t="inlineStr">
        <is>
          <t>Recovered</t>
        </is>
      </c>
      <c r="Q58" t="inlineStr">
        <is>
          <t>Unknown</t>
        </is>
      </c>
      <c r="R58" s="70" t="inlineStr">
        <is>
          <t>https://www.google.com/search?tbm=isch&amp;q=%22929+Pendleton+Ct%22+Oakley+CA+house</t>
        </is>
      </c>
    </row>
    <row r="59">
      <c r="A59" s="33" t="n">
        <v>58</v>
      </c>
      <c r="B59" s="33" t="inlineStr">
        <is>
          <t>Sold / recovered</t>
        </is>
      </c>
      <c r="C59" s="46" t="inlineStr">
        <is>
          <t>1517 Trimingham Dr</t>
        </is>
      </c>
      <c r="D59" s="46" t="inlineStr">
        <is>
          <t>Pleasanton</t>
        </is>
      </c>
      <c r="E59" s="46" t="inlineStr">
        <is>
          <t>CA</t>
        </is>
      </c>
      <c r="F59" s="46" t="str"/>
      <c r="G59" s="73" t="n">
        <v>707000</v>
      </c>
      <c r="H59" s="74" t="n"/>
      <c r="I59" s="75" t="n">
        <v>3</v>
      </c>
      <c r="J59" s="76" t="n">
        <v>3</v>
      </c>
      <c r="K59" s="77" t="n">
        <v>1609</v>
      </c>
      <c r="L59" s="46" t="inlineStr">
        <is>
          <t>Unknown</t>
        </is>
      </c>
      <c r="M59" s="46" t="inlineStr">
        <is>
          <t>Recovered from indexed Redfin/property sources; exact row source not individually re-opened</t>
        </is>
      </c>
      <c r="N59" s="46" t="inlineStr">
        <is>
          <t>https://www.redfin.com/real-estate-agents/gurmeet-singh</t>
        </is>
      </c>
      <c r="O59" s="46" t="inlineStr">
        <is>
          <t>Historical transaction recovered during deep search; verify against MLS before publishing as authoritative.</t>
        </is>
      </c>
      <c r="P59" t="inlineStr">
        <is>
          <t>Recovered</t>
        </is>
      </c>
      <c r="Q59" t="inlineStr">
        <is>
          <t>Unknown</t>
        </is>
      </c>
      <c r="R59" s="70" t="inlineStr">
        <is>
          <t>https://www.google.com/search?tbm=isch&amp;q=%221517+Trimingham+Dr%22+Pleasanton+CA+house</t>
        </is>
      </c>
    </row>
    <row r="60">
      <c r="A60" s="33" t="n">
        <v>59</v>
      </c>
      <c r="B60" s="33" t="inlineStr">
        <is>
          <t>Sold / recovered</t>
        </is>
      </c>
      <c r="C60" s="46" t="inlineStr">
        <is>
          <t>24623 Pontiac St</t>
        </is>
      </c>
      <c r="D60" s="46" t="inlineStr">
        <is>
          <t>Hayward</t>
        </is>
      </c>
      <c r="E60" s="46" t="inlineStr">
        <is>
          <t>CA</t>
        </is>
      </c>
      <c r="F60" s="46" t="str"/>
      <c r="G60" s="73" t="n">
        <v>703000</v>
      </c>
      <c r="H60" s="74" t="n"/>
      <c r="I60" s="75" t="n">
        <v>3</v>
      </c>
      <c r="J60" s="76" t="n">
        <v>1</v>
      </c>
      <c r="K60" s="77" t="n">
        <v>1093</v>
      </c>
      <c r="L60" s="46" t="inlineStr">
        <is>
          <t>Unknown</t>
        </is>
      </c>
      <c r="M60" s="46" t="inlineStr">
        <is>
          <t>Recovered from indexed Redfin/property sources; exact row source not individually re-opened</t>
        </is>
      </c>
      <c r="N60" s="46" t="inlineStr">
        <is>
          <t>https://www.redfin.com/real-estate-agents/gurmeet-singh</t>
        </is>
      </c>
      <c r="O60" s="46" t="inlineStr">
        <is>
          <t>Historical transaction recovered during deep search; verify against MLS before publishing as authoritative.</t>
        </is>
      </c>
      <c r="P60" t="inlineStr">
        <is>
          <t>Recovered</t>
        </is>
      </c>
      <c r="Q60" t="inlineStr">
        <is>
          <t>Unknown</t>
        </is>
      </c>
      <c r="R60" s="70" t="inlineStr">
        <is>
          <t>https://www.google.com/search?tbm=isch&amp;q=%2224623+Pontiac+St%22+Hayward+CA+house</t>
        </is>
      </c>
    </row>
    <row r="61">
      <c r="A61" s="33" t="n">
        <v>60</v>
      </c>
      <c r="B61" s="33" t="inlineStr">
        <is>
          <t>Sold / recovered</t>
        </is>
      </c>
      <c r="C61" s="46" t="inlineStr">
        <is>
          <t>1364 Maehl Dr</t>
        </is>
      </c>
      <c r="D61" s="46" t="inlineStr">
        <is>
          <t>Manteca</t>
        </is>
      </c>
      <c r="E61" s="46" t="inlineStr">
        <is>
          <t>CA</t>
        </is>
      </c>
      <c r="F61" s="46" t="str"/>
      <c r="G61" s="73" t="n">
        <v>675000</v>
      </c>
      <c r="H61" s="74" t="n"/>
      <c r="I61" s="75" t="n">
        <v>4</v>
      </c>
      <c r="J61" s="76" t="n">
        <v>3</v>
      </c>
      <c r="K61" s="77" t="n">
        <v>2706</v>
      </c>
      <c r="L61" s="46" t="inlineStr">
        <is>
          <t>Unknown</t>
        </is>
      </c>
      <c r="M61" s="46" t="inlineStr">
        <is>
          <t>Recovered from indexed Redfin/property sources; exact row source not individually re-opened</t>
        </is>
      </c>
      <c r="N61" s="46" t="inlineStr">
        <is>
          <t>https://www.redfin.com/real-estate-agents/gurmeet-singh</t>
        </is>
      </c>
      <c r="O61" s="46" t="inlineStr">
        <is>
          <t>Historical transaction recovered during deep search; verify against MLS before publishing as authoritative.</t>
        </is>
      </c>
      <c r="P61" t="inlineStr">
        <is>
          <t>Recovered</t>
        </is>
      </c>
      <c r="Q61" t="inlineStr">
        <is>
          <t>Unknown</t>
        </is>
      </c>
      <c r="R61" s="70" t="inlineStr">
        <is>
          <t>https://www.google.com/search?tbm=isch&amp;q=%221364+Maehl+Dr%22+Manteca+CA+house</t>
        </is>
      </c>
    </row>
    <row r="62">
      <c r="A62" s="33" t="n">
        <v>61</v>
      </c>
      <c r="B62" s="33" t="inlineStr">
        <is>
          <t>Sold / recovered</t>
        </is>
      </c>
      <c r="C62" s="46" t="inlineStr">
        <is>
          <t>7078 Wineberry Way</t>
        </is>
      </c>
      <c r="D62" s="46" t="inlineStr">
        <is>
          <t>Dublin</t>
        </is>
      </c>
      <c r="E62" s="46" t="inlineStr">
        <is>
          <t>CA</t>
        </is>
      </c>
      <c r="F62" s="46" t="str"/>
      <c r="G62" s="73" t="n">
        <v>671000</v>
      </c>
      <c r="H62" s="74" t="n"/>
      <c r="I62" s="75" t="n">
        <v>4</v>
      </c>
      <c r="J62" s="76" t="n">
        <v>2</v>
      </c>
      <c r="K62" s="77" t="n">
        <v>1469</v>
      </c>
      <c r="L62" s="46" t="inlineStr">
        <is>
          <t>Unknown</t>
        </is>
      </c>
      <c r="M62" s="46" t="inlineStr">
        <is>
          <t>Recovered from indexed Redfin/property sources; exact row source not individually re-opened</t>
        </is>
      </c>
      <c r="N62" s="46" t="inlineStr">
        <is>
          <t>https://www.redfin.com/real-estate-agents/gurmeet-singh</t>
        </is>
      </c>
      <c r="O62" s="46" t="inlineStr">
        <is>
          <t>Historical transaction recovered during deep search; verify against MLS before publishing as authoritative.</t>
        </is>
      </c>
      <c r="P62" t="inlineStr">
        <is>
          <t>Recovered</t>
        </is>
      </c>
      <c r="Q62" t="inlineStr">
        <is>
          <t>Unknown</t>
        </is>
      </c>
      <c r="R62" s="70" t="inlineStr">
        <is>
          <t>https://www.google.com/search?tbm=isch&amp;q=%227078+Wineberry+Way%22+Dublin+CA+house</t>
        </is>
      </c>
    </row>
    <row r="63">
      <c r="A63" s="33" t="n">
        <v>62</v>
      </c>
      <c r="B63" s="33" t="inlineStr">
        <is>
          <t>Sold / recovered</t>
        </is>
      </c>
      <c r="C63" s="46" t="inlineStr">
        <is>
          <t>10916 Monomoy Way</t>
        </is>
      </c>
      <c r="D63" s="46" t="inlineStr">
        <is>
          <t>Stockton</t>
        </is>
      </c>
      <c r="E63" s="46" t="inlineStr">
        <is>
          <t>CA</t>
        </is>
      </c>
      <c r="F63" s="46" t="str"/>
      <c r="G63" s="73" t="n">
        <v>652000</v>
      </c>
      <c r="H63" s="74" t="n"/>
      <c r="I63" s="75" t="n">
        <v>5</v>
      </c>
      <c r="J63" s="76" t="n">
        <v>3</v>
      </c>
      <c r="K63" s="77" t="n">
        <v>2660</v>
      </c>
      <c r="L63" s="46" t="inlineStr">
        <is>
          <t>Unknown</t>
        </is>
      </c>
      <c r="M63" s="46" t="inlineStr">
        <is>
          <t>Recovered from indexed Redfin/property sources; exact row source not individually re-opened</t>
        </is>
      </c>
      <c r="N63" s="46" t="inlineStr">
        <is>
          <t>https://www.redfin.com/real-estate-agents/gurmeet-singh</t>
        </is>
      </c>
      <c r="O63" s="46" t="inlineStr">
        <is>
          <t>Historical transaction recovered during deep search; verify against MLS before publishing as authoritative.</t>
        </is>
      </c>
      <c r="P63" t="inlineStr">
        <is>
          <t>Recovered</t>
        </is>
      </c>
      <c r="Q63" t="inlineStr">
        <is>
          <t>Unknown</t>
        </is>
      </c>
      <c r="R63" s="70" t="inlineStr">
        <is>
          <t>https://www.google.com/search?tbm=isch&amp;q=%2210916+Monomoy+Way%22+Stockton+CA+house</t>
        </is>
      </c>
    </row>
    <row r="64">
      <c r="A64" s="33" t="n">
        <v>63</v>
      </c>
      <c r="B64" s="33" t="inlineStr">
        <is>
          <t>Sold / recovered</t>
        </is>
      </c>
      <c r="C64" s="46" t="inlineStr">
        <is>
          <t>43 W Aventino Ave</t>
        </is>
      </c>
      <c r="D64" s="46" t="inlineStr">
        <is>
          <t>Mountain House</t>
        </is>
      </c>
      <c r="E64" s="46" t="inlineStr">
        <is>
          <t>CA</t>
        </is>
      </c>
      <c r="F64" s="46" t="str"/>
      <c r="G64" s="73" t="n">
        <v>650000</v>
      </c>
      <c r="H64" s="74" t="n"/>
      <c r="I64" s="75" t="n">
        <v>3</v>
      </c>
      <c r="J64" s="76" t="n">
        <v>2.5</v>
      </c>
      <c r="K64" s="77" t="n">
        <v>1671</v>
      </c>
      <c r="L64" s="46" t="inlineStr">
        <is>
          <t>Unknown</t>
        </is>
      </c>
      <c r="M64" s="46" t="inlineStr">
        <is>
          <t>Recovered from indexed Redfin/property sources; exact row source not individually re-opened</t>
        </is>
      </c>
      <c r="N64" s="46" t="inlineStr">
        <is>
          <t>https://www.redfin.com/real-estate-agents/gurmeet-singh</t>
        </is>
      </c>
      <c r="O64" s="46" t="inlineStr">
        <is>
          <t>Historical transaction recovered during deep search; verify against MLS before publishing as authoritative.</t>
        </is>
      </c>
      <c r="P64" t="inlineStr">
        <is>
          <t>Recovered</t>
        </is>
      </c>
      <c r="Q64" t="inlineStr">
        <is>
          <t>Unknown</t>
        </is>
      </c>
      <c r="R64" s="70" t="inlineStr">
        <is>
          <t>https://www.google.com/search?tbm=isch&amp;q=%2243+W+Aventino+Ave%22+Mountain+House+CA+house</t>
        </is>
      </c>
    </row>
    <row r="65">
      <c r="A65" s="33" t="n">
        <v>64</v>
      </c>
      <c r="B65" s="33" t="inlineStr">
        <is>
          <t>Sold / recovered</t>
        </is>
      </c>
      <c r="C65" s="46" t="inlineStr">
        <is>
          <t>5686 Greeley Pl</t>
        </is>
      </c>
      <c r="D65" s="46" t="inlineStr">
        <is>
          <t>Fremont</t>
        </is>
      </c>
      <c r="E65" s="46" t="inlineStr">
        <is>
          <t>CA</t>
        </is>
      </c>
      <c r="F65" s="46" t="str"/>
      <c r="G65" s="73" t="n">
        <v>650000</v>
      </c>
      <c r="H65" s="74" t="n"/>
      <c r="I65" s="75" t="n">
        <v>4</v>
      </c>
      <c r="J65" s="76" t="n">
        <v>3.5</v>
      </c>
      <c r="K65" s="77" t="n">
        <v>1834</v>
      </c>
      <c r="L65" s="46" t="inlineStr">
        <is>
          <t>Unknown</t>
        </is>
      </c>
      <c r="M65" s="46" t="inlineStr">
        <is>
          <t>Recovered from indexed Redfin/property sources; exact row source not individually re-opened</t>
        </is>
      </c>
      <c r="N65" s="46" t="inlineStr">
        <is>
          <t>https://www.redfin.com/real-estate-agents/gurmeet-singh</t>
        </is>
      </c>
      <c r="O65" s="46" t="inlineStr">
        <is>
          <t>Historical transaction recovered during deep search; verify against MLS before publishing as authoritative.</t>
        </is>
      </c>
      <c r="P65" t="inlineStr">
        <is>
          <t>Recovered</t>
        </is>
      </c>
      <c r="Q65" t="inlineStr">
        <is>
          <t>Unknown</t>
        </is>
      </c>
      <c r="R65" s="70" t="inlineStr">
        <is>
          <t>https://www.google.com/search?tbm=isch&amp;q=%225686+Greeley+Pl%22+Fremont+CA+house</t>
        </is>
      </c>
    </row>
    <row r="66">
      <c r="A66" s="33" t="n">
        <v>65</v>
      </c>
      <c r="B66" s="33" t="inlineStr">
        <is>
          <t>Sold / recovered</t>
        </is>
      </c>
      <c r="C66" s="46" t="inlineStr">
        <is>
          <t>4277 Polaris Ave</t>
        </is>
      </c>
      <c r="D66" s="46" t="inlineStr">
        <is>
          <t>Union City</t>
        </is>
      </c>
      <c r="E66" s="46" t="inlineStr">
        <is>
          <t>CA</t>
        </is>
      </c>
      <c r="F66" s="46" t="str"/>
      <c r="G66" s="73" t="n">
        <v>630000</v>
      </c>
      <c r="H66" s="74" t="n"/>
      <c r="I66" s="75" t="n">
        <v>3</v>
      </c>
      <c r="J66" s="76" t="n">
        <v>1.5</v>
      </c>
      <c r="K66" s="77" t="n">
        <v>1280</v>
      </c>
      <c r="L66" s="46" t="inlineStr">
        <is>
          <t>Unknown</t>
        </is>
      </c>
      <c r="M66" s="46" t="inlineStr">
        <is>
          <t>Recovered from indexed Redfin/property sources; exact row source not individually re-opened</t>
        </is>
      </c>
      <c r="N66" s="46" t="inlineStr">
        <is>
          <t>https://www.redfin.com/real-estate-agents/gurmeet-singh</t>
        </is>
      </c>
      <c r="O66" s="46" t="inlineStr">
        <is>
          <t>Historical transaction recovered during deep search; verify against MLS before publishing as authoritative.</t>
        </is>
      </c>
      <c r="P66" t="inlineStr">
        <is>
          <t>Recovered</t>
        </is>
      </c>
      <c r="Q66" t="inlineStr">
        <is>
          <t>Unknown</t>
        </is>
      </c>
      <c r="R66" s="70" t="inlineStr">
        <is>
          <t>https://www.google.com/search?tbm=isch&amp;q=%224277+Polaris+Ave%22+Union+City+CA+house</t>
        </is>
      </c>
    </row>
    <row r="67">
      <c r="A67" s="33" t="n">
        <v>66</v>
      </c>
      <c r="B67" s="33" t="inlineStr">
        <is>
          <t>Sold / recovered</t>
        </is>
      </c>
      <c r="C67" s="46" t="inlineStr">
        <is>
          <t>2660 Village Ct</t>
        </is>
      </c>
      <c r="D67" s="46" t="inlineStr">
        <is>
          <t>Union City</t>
        </is>
      </c>
      <c r="E67" s="46" t="inlineStr">
        <is>
          <t>CA</t>
        </is>
      </c>
      <c r="F67" s="46" t="str"/>
      <c r="G67" s="73" t="n">
        <v>628000</v>
      </c>
      <c r="H67" s="74" t="n"/>
      <c r="I67" s="75" t="n">
        <v>3</v>
      </c>
      <c r="J67" s="76" t="n">
        <v>2.5</v>
      </c>
      <c r="K67" s="77" t="n">
        <v>1667</v>
      </c>
      <c r="L67" s="46" t="inlineStr">
        <is>
          <t>Unknown</t>
        </is>
      </c>
      <c r="M67" s="46" t="inlineStr">
        <is>
          <t>Recovered from indexed Redfin/property sources; exact row source not individually re-opened</t>
        </is>
      </c>
      <c r="N67" s="46" t="inlineStr">
        <is>
          <t>https://www.redfin.com/real-estate-agents/gurmeet-singh</t>
        </is>
      </c>
      <c r="O67" s="46" t="inlineStr">
        <is>
          <t>Historical transaction recovered during deep search; verify against MLS before publishing as authoritative.</t>
        </is>
      </c>
      <c r="P67" t="inlineStr">
        <is>
          <t>Recovered</t>
        </is>
      </c>
      <c r="Q67" t="inlineStr">
        <is>
          <t>Unknown</t>
        </is>
      </c>
      <c r="R67" s="70" t="inlineStr">
        <is>
          <t>https://www.google.com/search?tbm=isch&amp;q=%222660+Village+Ct%22+Union+City+CA+house</t>
        </is>
      </c>
    </row>
    <row r="68">
      <c r="A68" s="33" t="n">
        <v>67</v>
      </c>
      <c r="B68" s="33" t="inlineStr">
        <is>
          <t>Sold / recovered</t>
        </is>
      </c>
      <c r="C68" s="46" t="inlineStr">
        <is>
          <t>10124 Downy Birch Dr</t>
        </is>
      </c>
      <c r="D68" s="46" t="inlineStr">
        <is>
          <t>Stockton</t>
        </is>
      </c>
      <c r="E68" s="46" t="inlineStr">
        <is>
          <t>CA</t>
        </is>
      </c>
      <c r="F68" s="46" t="str"/>
      <c r="G68" s="73" t="n">
        <v>617000</v>
      </c>
      <c r="H68" s="74" t="n"/>
      <c r="I68" s="75" t="n">
        <v>5</v>
      </c>
      <c r="J68" s="76" t="n">
        <v>3</v>
      </c>
      <c r="K68" s="77" t="n">
        <v>2639</v>
      </c>
      <c r="L68" s="46" t="inlineStr">
        <is>
          <t>Unknown</t>
        </is>
      </c>
      <c r="M68" s="46" t="inlineStr">
        <is>
          <t>Recovered from indexed Redfin/property sources; exact row source not individually re-opened</t>
        </is>
      </c>
      <c r="N68" s="46" t="inlineStr">
        <is>
          <t>https://www.redfin.com/real-estate-agents/gurmeet-singh</t>
        </is>
      </c>
      <c r="O68" s="46" t="inlineStr">
        <is>
          <t>Historical transaction recovered during deep search; verify against MLS before publishing as authoritative.</t>
        </is>
      </c>
      <c r="P68" t="inlineStr">
        <is>
          <t>Recovered</t>
        </is>
      </c>
      <c r="Q68" t="inlineStr">
        <is>
          <t>Unknown</t>
        </is>
      </c>
      <c r="R68" s="70" t="inlineStr">
        <is>
          <t>https://www.google.com/search?tbm=isch&amp;q=%2210124+Downy+Birch+Dr%22+Stockton+CA+house</t>
        </is>
      </c>
    </row>
    <row r="69">
      <c r="A69" s="33" t="n">
        <v>68</v>
      </c>
      <c r="B69" s="33" t="inlineStr">
        <is>
          <t>Sold / recovered</t>
        </is>
      </c>
      <c r="C69" s="46" t="inlineStr">
        <is>
          <t>4427 Callecita Ct</t>
        </is>
      </c>
      <c r="D69" s="46" t="inlineStr">
        <is>
          <t>Union City</t>
        </is>
      </c>
      <c r="E69" s="46" t="inlineStr">
        <is>
          <t>CA</t>
        </is>
      </c>
      <c r="F69" s="46" t="str"/>
      <c r="G69" s="73" t="n">
        <v>600000</v>
      </c>
      <c r="H69" s="74" t="n"/>
      <c r="I69" s="75" t="n">
        <v>2</v>
      </c>
      <c r="J69" s="76" t="n">
        <v>1</v>
      </c>
      <c r="K69" s="77" t="n">
        <v>875</v>
      </c>
      <c r="L69" s="46" t="inlineStr">
        <is>
          <t>Unknown</t>
        </is>
      </c>
      <c r="M69" s="46" t="inlineStr">
        <is>
          <t>Recovered from indexed Redfin/property sources; exact row source not individually re-opened</t>
        </is>
      </c>
      <c r="N69" s="46" t="inlineStr">
        <is>
          <t>https://www.redfin.com/real-estate-agents/gurmeet-singh</t>
        </is>
      </c>
      <c r="O69" s="46" t="inlineStr">
        <is>
          <t>Historical transaction recovered during deep search; verify against MLS before publishing as authoritative.</t>
        </is>
      </c>
      <c r="P69" t="inlineStr">
        <is>
          <t>Recovered</t>
        </is>
      </c>
      <c r="Q69" t="inlineStr">
        <is>
          <t>Unknown</t>
        </is>
      </c>
      <c r="R69" s="70" t="inlineStr">
        <is>
          <t>https://www.google.com/search?tbm=isch&amp;q=%224427+Callecita+Ct%22+Union+City+CA+house</t>
        </is>
      </c>
    </row>
    <row r="70">
      <c r="A70" s="33" t="n">
        <v>69</v>
      </c>
      <c r="B70" s="33" t="inlineStr">
        <is>
          <t>Sold</t>
        </is>
      </c>
      <c r="C70" s="46" t="inlineStr">
        <is>
          <t>1865 Newport Ct</t>
        </is>
      </c>
      <c r="D70" s="46" t="inlineStr">
        <is>
          <t>Tracy</t>
        </is>
      </c>
      <c r="E70" s="46" t="inlineStr">
        <is>
          <t>CA</t>
        </is>
      </c>
      <c r="F70" s="46" t="inlineStr">
        <is>
          <t>95376</t>
        </is>
      </c>
      <c r="G70" s="73" t="n">
        <v>580000</v>
      </c>
      <c r="H70" s="74" t="n"/>
      <c r="I70" s="75" t="n">
        <v>4</v>
      </c>
      <c r="J70" s="76" t="n">
        <v>3</v>
      </c>
      <c r="K70" s="77" t="n">
        <v>2373</v>
      </c>
      <c r="L70" s="46" t="inlineStr">
        <is>
          <t>Buyer</t>
        </is>
      </c>
      <c r="M70" s="46" t="inlineStr">
        <is>
          <t>High - Zillow recent sales</t>
        </is>
      </c>
      <c r="N70" s="46" t="inlineStr">
        <is>
          <t>https://www.zillow.com/profile/Gurmeet%20Singh</t>
        </is>
      </c>
      <c r="O70" s="46" t="inlineStr">
        <is>
          <t>Zillow shows sold about 6 months before 2026-08-15.</t>
        </is>
      </c>
      <c r="P70" t="inlineStr">
        <is>
          <t>High</t>
        </is>
      </c>
      <c r="Q70" t="inlineStr">
        <is>
          <t>Buyer</t>
        </is>
      </c>
      <c r="R70" s="70" t="inlineStr">
        <is>
          <t>https://www.google.com/search?tbm=isch&amp;q=%221865+Newport+Ct%22+Tracy+CA+95376+house</t>
        </is>
      </c>
    </row>
    <row r="71">
      <c r="A71" s="33" t="n">
        <v>70</v>
      </c>
      <c r="B71" s="33" t="inlineStr">
        <is>
          <t>Sold / recovered</t>
        </is>
      </c>
      <c r="C71" s="46" t="inlineStr">
        <is>
          <t>25181 Copa Del Oro Dr #128</t>
        </is>
      </c>
      <c r="D71" s="46" t="inlineStr">
        <is>
          <t>Hayward</t>
        </is>
      </c>
      <c r="E71" s="46" t="inlineStr">
        <is>
          <t>CA</t>
        </is>
      </c>
      <c r="F71" s="46" t="str"/>
      <c r="G71" s="73" t="n">
        <v>579000</v>
      </c>
      <c r="H71" s="74" t="n"/>
      <c r="I71" s="75" t="n">
        <v>2</v>
      </c>
      <c r="J71" s="76" t="n">
        <v>2</v>
      </c>
      <c r="K71" s="77" t="n">
        <v>865</v>
      </c>
      <c r="L71" s="46" t="inlineStr">
        <is>
          <t>Unknown</t>
        </is>
      </c>
      <c r="M71" s="46" t="inlineStr">
        <is>
          <t>Recovered from indexed Redfin/property sources; exact row source not individually re-opened</t>
        </is>
      </c>
      <c r="N71" s="46" t="inlineStr">
        <is>
          <t>https://www.redfin.com/real-estate-agents/gurmeet-singh</t>
        </is>
      </c>
      <c r="O71" s="46" t="inlineStr">
        <is>
          <t>Historical transaction recovered during deep search; verify against MLS before publishing as authoritative.</t>
        </is>
      </c>
      <c r="P71" t="inlineStr">
        <is>
          <t>Recovered</t>
        </is>
      </c>
      <c r="Q71" t="inlineStr">
        <is>
          <t>Unknown</t>
        </is>
      </c>
      <c r="R71" s="70" t="inlineStr">
        <is>
          <t>https://www.google.com/search?tbm=isch&amp;q=%2225181+Copa+Del+Oro+Dr+%23128%22+Hayward+CA+house</t>
        </is>
      </c>
    </row>
    <row r="72">
      <c r="A72" s="33" t="n">
        <v>71</v>
      </c>
      <c r="B72" s="33" t="inlineStr">
        <is>
          <t>Sold / recovered</t>
        </is>
      </c>
      <c r="C72" s="46" t="inlineStr">
        <is>
          <t>6411 Oscar Cir</t>
        </is>
      </c>
      <c r="D72" s="46" t="inlineStr">
        <is>
          <t>Elk Grove</t>
        </is>
      </c>
      <c r="E72" s="46" t="inlineStr">
        <is>
          <t>CA</t>
        </is>
      </c>
      <c r="F72" s="46" t="str"/>
      <c r="G72" s="73" t="n">
        <v>579000</v>
      </c>
      <c r="H72" s="74" t="n"/>
      <c r="I72" s="75" t="n">
        <v>4</v>
      </c>
      <c r="J72" s="76" t="n">
        <v>3</v>
      </c>
      <c r="K72" s="77" t="n">
        <v>2359</v>
      </c>
      <c r="L72" s="46" t="inlineStr">
        <is>
          <t>Unknown</t>
        </is>
      </c>
      <c r="M72" s="46" t="inlineStr">
        <is>
          <t>Recovered from indexed Redfin/property sources; exact row source not individually re-opened</t>
        </is>
      </c>
      <c r="N72" s="46" t="inlineStr">
        <is>
          <t>https://www.redfin.com/real-estate-agents/gurmeet-singh</t>
        </is>
      </c>
      <c r="O72" s="46" t="inlineStr">
        <is>
          <t>Historical transaction recovered during deep search; verify against MLS before publishing as authoritative.</t>
        </is>
      </c>
      <c r="P72" t="inlineStr">
        <is>
          <t>Recovered</t>
        </is>
      </c>
      <c r="Q72" t="inlineStr">
        <is>
          <t>Unknown</t>
        </is>
      </c>
      <c r="R72" s="70" t="inlineStr">
        <is>
          <t>https://www.google.com/search?tbm=isch&amp;q=%226411+Oscar+Cir%22+Elk+Grove+CA+house</t>
        </is>
      </c>
    </row>
    <row r="73">
      <c r="A73" s="33" t="n">
        <v>72</v>
      </c>
      <c r="B73" s="33" t="inlineStr">
        <is>
          <t>Sold / recovered</t>
        </is>
      </c>
      <c r="C73" s="46" t="inlineStr">
        <is>
          <t>414 Millbrook Ct</t>
        </is>
      </c>
      <c r="D73" s="46" t="inlineStr">
        <is>
          <t>Lincoln</t>
        </is>
      </c>
      <c r="E73" s="46" t="inlineStr">
        <is>
          <t>CA</t>
        </is>
      </c>
      <c r="F73" s="46" t="str"/>
      <c r="G73" s="73" t="n">
        <v>566000</v>
      </c>
      <c r="H73" s="74" t="n"/>
      <c r="I73" s="75" t="n">
        <v>5</v>
      </c>
      <c r="J73" s="76" t="n">
        <v>4</v>
      </c>
      <c r="K73" s="77" t="n">
        <v>3407</v>
      </c>
      <c r="L73" s="46" t="inlineStr">
        <is>
          <t>Unknown</t>
        </is>
      </c>
      <c r="M73" s="46" t="inlineStr">
        <is>
          <t>Recovered from indexed Redfin/property sources; exact row source not individually re-opened</t>
        </is>
      </c>
      <c r="N73" s="46" t="inlineStr">
        <is>
          <t>https://www.redfin.com/real-estate-agents/gurmeet-singh</t>
        </is>
      </c>
      <c r="O73" s="46" t="inlineStr">
        <is>
          <t>Historical transaction recovered during deep search; verify against MLS before publishing as authoritative.</t>
        </is>
      </c>
      <c r="P73" t="inlineStr">
        <is>
          <t>Recovered</t>
        </is>
      </c>
      <c r="Q73" t="inlineStr">
        <is>
          <t>Unknown</t>
        </is>
      </c>
      <c r="R73" s="70" t="inlineStr">
        <is>
          <t>https://www.google.com/search?tbm=isch&amp;q=%22414+Millbrook+Ct%22+Lincoln+CA+house</t>
        </is>
      </c>
    </row>
    <row r="74">
      <c r="A74" s="33" t="n">
        <v>73</v>
      </c>
      <c r="B74" s="33" t="inlineStr">
        <is>
          <t>Sold / recovered</t>
        </is>
      </c>
      <c r="C74" s="46" t="inlineStr">
        <is>
          <t>1966 Inderbitzin Way</t>
        </is>
      </c>
      <c r="D74" s="46" t="inlineStr">
        <is>
          <t>Manteca</t>
        </is>
      </c>
      <c r="E74" s="46" t="inlineStr">
        <is>
          <t>CA</t>
        </is>
      </c>
      <c r="F74" s="46" t="str"/>
      <c r="G74" s="73" t="n">
        <v>565000</v>
      </c>
      <c r="H74" s="74" t="n"/>
      <c r="I74" s="75" t="n">
        <v>5</v>
      </c>
      <c r="J74" s="76" t="n">
        <v>3</v>
      </c>
      <c r="K74" s="77" t="n">
        <v>3305</v>
      </c>
      <c r="L74" s="46" t="inlineStr">
        <is>
          <t>Unknown</t>
        </is>
      </c>
      <c r="M74" s="46" t="inlineStr">
        <is>
          <t>Recovered from indexed Redfin/property sources; exact row source not individually re-opened</t>
        </is>
      </c>
      <c r="N74" s="46" t="inlineStr">
        <is>
          <t>https://www.redfin.com/real-estate-agents/gurmeet-singh</t>
        </is>
      </c>
      <c r="O74" s="46" t="inlineStr">
        <is>
          <t>Historical transaction recovered during deep search; verify against MLS before publishing as authoritative.</t>
        </is>
      </c>
      <c r="P74" t="inlineStr">
        <is>
          <t>Recovered</t>
        </is>
      </c>
      <c r="Q74" t="inlineStr">
        <is>
          <t>Unknown</t>
        </is>
      </c>
      <c r="R74" s="70" t="inlineStr">
        <is>
          <t>https://www.google.com/search?tbm=isch&amp;q=%221966+Inderbitzin+Way%22+Manteca+CA+house</t>
        </is>
      </c>
    </row>
    <row r="75">
      <c r="A75" s="33" t="n">
        <v>74</v>
      </c>
      <c r="B75" s="33" t="inlineStr">
        <is>
          <t>Sold / recovered</t>
        </is>
      </c>
      <c r="C75" s="46" t="inlineStr">
        <is>
          <t>125 W Aventino Ave</t>
        </is>
      </c>
      <c r="D75" s="46" t="inlineStr">
        <is>
          <t>Mountain House</t>
        </is>
      </c>
      <c r="E75" s="46" t="inlineStr">
        <is>
          <t>CA</t>
        </is>
      </c>
      <c r="F75" s="46" t="str"/>
      <c r="G75" s="73" t="n">
        <v>560000</v>
      </c>
      <c r="H75" s="74" t="n"/>
      <c r="I75" s="75" t="n">
        <v>4</v>
      </c>
      <c r="J75" s="76" t="n">
        <v>3</v>
      </c>
      <c r="K75" s="77" t="n">
        <v>2356</v>
      </c>
      <c r="L75" s="46" t="inlineStr">
        <is>
          <t>Unknown</t>
        </is>
      </c>
      <c r="M75" s="46" t="inlineStr">
        <is>
          <t>Recovered from indexed Redfin/property sources; exact row source not individually re-opened</t>
        </is>
      </c>
      <c r="N75" s="46" t="inlineStr">
        <is>
          <t>https://www.redfin.com/real-estate-agents/gurmeet-singh</t>
        </is>
      </c>
      <c r="O75" s="46" t="inlineStr">
        <is>
          <t>Historical transaction recovered during deep search; verify against MLS before publishing as authoritative.</t>
        </is>
      </c>
      <c r="P75" t="inlineStr">
        <is>
          <t>Recovered</t>
        </is>
      </c>
      <c r="Q75" t="inlineStr">
        <is>
          <t>Unknown</t>
        </is>
      </c>
      <c r="R75" s="70" t="inlineStr">
        <is>
          <t>https://www.google.com/search?tbm=isch&amp;q=%22125+W+Aventino+Ave%22+Mountain+House+CA+house</t>
        </is>
      </c>
    </row>
    <row r="76">
      <c r="A76" s="33" t="n">
        <v>75</v>
      </c>
      <c r="B76" s="33" t="inlineStr">
        <is>
          <t>Sold / recovered</t>
        </is>
      </c>
      <c r="C76" s="46" t="inlineStr">
        <is>
          <t>2805 Black Mountain Way</t>
        </is>
      </c>
      <c r="D76" s="46" t="inlineStr">
        <is>
          <t>Modesto</t>
        </is>
      </c>
      <c r="E76" s="46" t="inlineStr">
        <is>
          <t>CA</t>
        </is>
      </c>
      <c r="F76" s="46" t="str"/>
      <c r="G76" s="73" t="n">
        <v>551000</v>
      </c>
      <c r="H76" s="74" t="n"/>
      <c r="I76" s="75" t="n">
        <v>4</v>
      </c>
      <c r="J76" s="76" t="n">
        <v>3</v>
      </c>
      <c r="K76" s="77" t="n">
        <v>3650</v>
      </c>
      <c r="L76" s="46" t="inlineStr">
        <is>
          <t>Unknown</t>
        </is>
      </c>
      <c r="M76" s="46" t="inlineStr">
        <is>
          <t>Recovered from indexed Redfin/property sources; exact row source not individually re-opened</t>
        </is>
      </c>
      <c r="N76" s="46" t="inlineStr">
        <is>
          <t>https://www.redfin.com/real-estate-agents/gurmeet-singh</t>
        </is>
      </c>
      <c r="O76" s="46" t="inlineStr">
        <is>
          <t>Historical transaction recovered during deep search; verify against MLS before publishing as authoritative.</t>
        </is>
      </c>
      <c r="P76" t="inlineStr">
        <is>
          <t>Recovered</t>
        </is>
      </c>
      <c r="Q76" t="inlineStr">
        <is>
          <t>Unknown</t>
        </is>
      </c>
      <c r="R76" s="70" t="inlineStr">
        <is>
          <t>https://www.google.com/search?tbm=isch&amp;q=%222805+Black+Mountain+Way%22+Modesto+CA+house</t>
        </is>
      </c>
    </row>
    <row r="77">
      <c r="A77" s="33" t="n">
        <v>76</v>
      </c>
      <c r="B77" s="33" t="inlineStr">
        <is>
          <t>Sold / recovered</t>
        </is>
      </c>
      <c r="C77" s="46" t="inlineStr">
        <is>
          <t>4312 Torres Ave</t>
        </is>
      </c>
      <c r="D77" s="46" t="inlineStr">
        <is>
          <t>Fremont</t>
        </is>
      </c>
      <c r="E77" s="46" t="inlineStr">
        <is>
          <t>CA</t>
        </is>
      </c>
      <c r="F77" s="46" t="str"/>
      <c r="G77" s="73" t="n">
        <v>551000</v>
      </c>
      <c r="H77" s="74" t="n"/>
      <c r="I77" s="75" t="n">
        <v>3</v>
      </c>
      <c r="J77" s="76" t="n">
        <v>2</v>
      </c>
      <c r="K77" s="77" t="n">
        <v>1581</v>
      </c>
      <c r="L77" s="46" t="inlineStr">
        <is>
          <t>Unknown</t>
        </is>
      </c>
      <c r="M77" s="46" t="inlineStr">
        <is>
          <t>Recovered from indexed Redfin/property sources; exact row source not individually re-opened</t>
        </is>
      </c>
      <c r="N77" s="46" t="inlineStr">
        <is>
          <t>https://www.redfin.com/real-estate-agents/gurmeet-singh</t>
        </is>
      </c>
      <c r="O77" s="46" t="inlineStr">
        <is>
          <t>Historical transaction recovered during deep search; verify against MLS before publishing as authoritative.</t>
        </is>
      </c>
      <c r="P77" t="inlineStr">
        <is>
          <t>Recovered</t>
        </is>
      </c>
      <c r="Q77" t="inlineStr">
        <is>
          <t>Unknown</t>
        </is>
      </c>
      <c r="R77" s="70" t="inlineStr">
        <is>
          <t>https://www.google.com/search?tbm=isch&amp;q=%224312+Torres+Ave%22+Fremont+CA+house</t>
        </is>
      </c>
    </row>
    <row r="78">
      <c r="A78" s="33" t="n">
        <v>77</v>
      </c>
      <c r="B78" s="33" t="inlineStr">
        <is>
          <t>Sold / recovered</t>
        </is>
      </c>
      <c r="C78" s="46" t="inlineStr">
        <is>
          <t>4727 Palos Way</t>
        </is>
      </c>
      <c r="D78" s="46" t="inlineStr">
        <is>
          <t>Union City</t>
        </is>
      </c>
      <c r="E78" s="46" t="inlineStr">
        <is>
          <t>CA</t>
        </is>
      </c>
      <c r="F78" s="46" t="str"/>
      <c r="G78" s="73" t="n">
        <v>535000</v>
      </c>
      <c r="H78" s="74" t="n"/>
      <c r="I78" s="75" t="n">
        <v>3</v>
      </c>
      <c r="J78" s="76" t="n">
        <v>1.5</v>
      </c>
      <c r="K78" s="77" t="n">
        <v>1298</v>
      </c>
      <c r="L78" s="46" t="inlineStr">
        <is>
          <t>Unknown</t>
        </is>
      </c>
      <c r="M78" s="46" t="inlineStr">
        <is>
          <t>Recovered from indexed Redfin/property sources; exact row source not individually re-opened</t>
        </is>
      </c>
      <c r="N78" s="46" t="inlineStr">
        <is>
          <t>https://www.redfin.com/real-estate-agents/gurmeet-singh</t>
        </is>
      </c>
      <c r="O78" s="46" t="inlineStr">
        <is>
          <t>Historical transaction recovered during deep search; verify against MLS before publishing as authoritative.</t>
        </is>
      </c>
      <c r="P78" t="inlineStr">
        <is>
          <t>Recovered</t>
        </is>
      </c>
      <c r="Q78" t="inlineStr">
        <is>
          <t>Unknown</t>
        </is>
      </c>
      <c r="R78" s="70" t="inlineStr">
        <is>
          <t>https://www.google.com/search?tbm=isch&amp;q=%224727+Palos+Way%22+Union+City+CA+house</t>
        </is>
      </c>
    </row>
    <row r="79">
      <c r="A79" s="33" t="n">
        <v>78</v>
      </c>
      <c r="B79" s="33" t="inlineStr">
        <is>
          <t>Sold / recovered</t>
        </is>
      </c>
      <c r="C79" s="46" t="inlineStr">
        <is>
          <t>27603 Del Norte Ct</t>
        </is>
      </c>
      <c r="D79" s="46" t="inlineStr">
        <is>
          <t>Hayward</t>
        </is>
      </c>
      <c r="E79" s="46" t="inlineStr">
        <is>
          <t>CA</t>
        </is>
      </c>
      <c r="F79" s="46" t="str"/>
      <c r="G79" s="73" t="n">
        <v>532500</v>
      </c>
      <c r="H79" s="74" t="n"/>
      <c r="I79" s="75" t="n">
        <v>2</v>
      </c>
      <c r="J79" s="76" t="n">
        <v>1.5</v>
      </c>
      <c r="K79" s="77" t="n">
        <v>988</v>
      </c>
      <c r="L79" s="46" t="inlineStr">
        <is>
          <t>Unknown</t>
        </is>
      </c>
      <c r="M79" s="46" t="inlineStr">
        <is>
          <t>Recovered from indexed Redfin/property sources; exact row source not individually re-opened</t>
        </is>
      </c>
      <c r="N79" s="46" t="inlineStr">
        <is>
          <t>https://www.redfin.com/real-estate-agents/gurmeet-singh</t>
        </is>
      </c>
      <c r="O79" s="46" t="inlineStr">
        <is>
          <t>Historical transaction recovered during deep search; verify against MLS before publishing as authoritative.</t>
        </is>
      </c>
      <c r="P79" t="inlineStr">
        <is>
          <t>Recovered</t>
        </is>
      </c>
      <c r="Q79" t="inlineStr">
        <is>
          <t>Unknown</t>
        </is>
      </c>
      <c r="R79" s="70" t="inlineStr">
        <is>
          <t>https://www.google.com/search?tbm=isch&amp;q=%2227603+Del+Norte+Ct%22+Hayward+CA+house</t>
        </is>
      </c>
    </row>
    <row r="80">
      <c r="A80" s="33" t="n">
        <v>79</v>
      </c>
      <c r="B80" s="33" t="inlineStr">
        <is>
          <t>Sold / recovered</t>
        </is>
      </c>
      <c r="C80" s="46" t="inlineStr">
        <is>
          <t>2121 Cabana Ln</t>
        </is>
      </c>
      <c r="D80" s="46" t="inlineStr">
        <is>
          <t>Tracy</t>
        </is>
      </c>
      <c r="E80" s="46" t="inlineStr">
        <is>
          <t>CA</t>
        </is>
      </c>
      <c r="F80" s="46" t="str"/>
      <c r="G80" s="73" t="n">
        <v>532000</v>
      </c>
      <c r="H80" s="74" t="n"/>
      <c r="I80" s="75" t="n">
        <v>4</v>
      </c>
      <c r="J80" s="76" t="n">
        <v>3</v>
      </c>
      <c r="K80" s="77" t="n">
        <v>2396</v>
      </c>
      <c r="L80" s="46" t="inlineStr">
        <is>
          <t>Unknown</t>
        </is>
      </c>
      <c r="M80" s="46" t="inlineStr">
        <is>
          <t>Recovered from indexed Redfin/property sources; exact row source not individually re-opened</t>
        </is>
      </c>
      <c r="N80" s="46" t="inlineStr">
        <is>
          <t>https://www.redfin.com/real-estate-agents/gurmeet-singh</t>
        </is>
      </c>
      <c r="O80" s="46" t="inlineStr">
        <is>
          <t>Historical transaction recovered during deep search; verify against MLS before publishing as authoritative.</t>
        </is>
      </c>
      <c r="P80" t="inlineStr">
        <is>
          <t>Recovered</t>
        </is>
      </c>
      <c r="Q80" t="inlineStr">
        <is>
          <t>Unknown</t>
        </is>
      </c>
      <c r="R80" s="70" t="inlineStr">
        <is>
          <t>https://www.google.com/search?tbm=isch&amp;q=%222121+Cabana+Ln%22+Tracy+CA+house</t>
        </is>
      </c>
    </row>
    <row r="81">
      <c r="A81" s="33" t="n">
        <v>80</v>
      </c>
      <c r="B81" s="33" t="inlineStr">
        <is>
          <t>Sold / recovered</t>
        </is>
      </c>
      <c r="C81" s="46" t="inlineStr">
        <is>
          <t>39993 Fremont Blvd #111</t>
        </is>
      </c>
      <c r="D81" s="46" t="inlineStr">
        <is>
          <t>Fremont</t>
        </is>
      </c>
      <c r="E81" s="46" t="inlineStr">
        <is>
          <t>CA</t>
        </is>
      </c>
      <c r="F81" s="46" t="str"/>
      <c r="G81" s="73" t="n">
        <v>530200</v>
      </c>
      <c r="H81" s="74" t="n"/>
      <c r="I81" s="75" t="n">
        <v>2</v>
      </c>
      <c r="J81" s="76" t="n">
        <v>2</v>
      </c>
      <c r="K81" s="77" t="n">
        <v>1146</v>
      </c>
      <c r="L81" s="46" t="inlineStr">
        <is>
          <t>Unknown</t>
        </is>
      </c>
      <c r="M81" s="46" t="inlineStr">
        <is>
          <t>Recovered from indexed Redfin/property sources; exact row source not individually re-opened</t>
        </is>
      </c>
      <c r="N81" s="46" t="inlineStr">
        <is>
          <t>https://www.redfin.com/real-estate-agents/gurmeet-singh</t>
        </is>
      </c>
      <c r="O81" s="46" t="inlineStr">
        <is>
          <t>Historical transaction recovered during deep search; verify against MLS before publishing as authoritative.</t>
        </is>
      </c>
      <c r="P81" t="inlineStr">
        <is>
          <t>Recovered</t>
        </is>
      </c>
      <c r="Q81" t="inlineStr">
        <is>
          <t>Unknown</t>
        </is>
      </c>
      <c r="R81" s="70" t="inlineStr">
        <is>
          <t>https://www.google.com/search?tbm=isch&amp;q=%2239993+Fremont+Blvd+%23111%22+Fremont+CA+house</t>
        </is>
      </c>
    </row>
    <row r="82">
      <c r="A82" s="33" t="n">
        <v>81</v>
      </c>
      <c r="B82" s="33" t="inlineStr">
        <is>
          <t>Sold / recovered</t>
        </is>
      </c>
      <c r="C82" s="46" t="inlineStr">
        <is>
          <t>474 Grove Way</t>
        </is>
      </c>
      <c r="D82" s="46" t="inlineStr">
        <is>
          <t>Cherryland</t>
        </is>
      </c>
      <c r="E82" s="46" t="inlineStr">
        <is>
          <t>CA</t>
        </is>
      </c>
      <c r="F82" s="46" t="str"/>
      <c r="G82" s="73" t="n">
        <v>530000</v>
      </c>
      <c r="H82" s="74" t="n"/>
      <c r="I82" s="75" t="n">
        <v>2</v>
      </c>
      <c r="J82" s="76" t="n">
        <v>1</v>
      </c>
      <c r="K82" s="77" t="n">
        <v>756</v>
      </c>
      <c r="L82" s="46" t="inlineStr">
        <is>
          <t>Unknown</t>
        </is>
      </c>
      <c r="M82" s="46" t="inlineStr">
        <is>
          <t>Recovered from indexed Redfin/property sources; exact row source not individually re-opened</t>
        </is>
      </c>
      <c r="N82" s="46" t="inlineStr">
        <is>
          <t>https://www.redfin.com/real-estate-agents/gurmeet-singh</t>
        </is>
      </c>
      <c r="O82" s="46" t="inlineStr">
        <is>
          <t>Historical transaction recovered during deep search; verify against MLS before publishing as authoritative.</t>
        </is>
      </c>
      <c r="P82" t="inlineStr">
        <is>
          <t>Recovered</t>
        </is>
      </c>
      <c r="Q82" t="inlineStr">
        <is>
          <t>Unknown</t>
        </is>
      </c>
      <c r="R82" s="70" t="inlineStr">
        <is>
          <t>https://www.google.com/search?tbm=isch&amp;q=%22474+Grove+Way%22+Cherryland+CA+house</t>
        </is>
      </c>
    </row>
    <row r="83">
      <c r="A83" s="33" t="n">
        <v>82</v>
      </c>
      <c r="B83" s="33" t="inlineStr">
        <is>
          <t>Sold / recovered</t>
        </is>
      </c>
      <c r="C83" s="46" t="inlineStr">
        <is>
          <t>1881 Kern St</t>
        </is>
      </c>
      <c r="D83" s="46" t="inlineStr">
        <is>
          <t>Tracy</t>
        </is>
      </c>
      <c r="E83" s="46" t="inlineStr">
        <is>
          <t>CA</t>
        </is>
      </c>
      <c r="F83" s="46" t="str"/>
      <c r="G83" s="73" t="n">
        <v>526000</v>
      </c>
      <c r="H83" s="74" t="n"/>
      <c r="I83" s="75" t="n">
        <v>4</v>
      </c>
      <c r="J83" s="76" t="n">
        <v>3</v>
      </c>
      <c r="K83" s="77" t="n">
        <v>2582</v>
      </c>
      <c r="L83" s="46" t="inlineStr">
        <is>
          <t>Unknown</t>
        </is>
      </c>
      <c r="M83" s="46" t="inlineStr">
        <is>
          <t>Recovered from indexed Redfin/property sources; exact row source not individually re-opened</t>
        </is>
      </c>
      <c r="N83" s="46" t="inlineStr">
        <is>
          <t>https://www.redfin.com/real-estate-agents/gurmeet-singh</t>
        </is>
      </c>
      <c r="O83" s="46" t="inlineStr">
        <is>
          <t>Historical transaction recovered during deep search; verify against MLS before publishing as authoritative.</t>
        </is>
      </c>
      <c r="P83" t="inlineStr">
        <is>
          <t>Recovered</t>
        </is>
      </c>
      <c r="Q83" t="inlineStr">
        <is>
          <t>Unknown</t>
        </is>
      </c>
      <c r="R83" s="70" t="inlineStr">
        <is>
          <t>https://www.google.com/search?tbm=isch&amp;q=%221881+Kern+St%22+Tracy+CA+house</t>
        </is>
      </c>
    </row>
    <row r="84">
      <c r="A84" s="33" t="n">
        <v>83</v>
      </c>
      <c r="B84" s="33" t="inlineStr">
        <is>
          <t>Sold / recovered</t>
        </is>
      </c>
      <c r="C84" s="46" t="inlineStr">
        <is>
          <t>37200 Meadowbrook Cmn #103</t>
        </is>
      </c>
      <c r="D84" s="46" t="inlineStr">
        <is>
          <t>Fremont</t>
        </is>
      </c>
      <c r="E84" s="46" t="inlineStr">
        <is>
          <t>CA</t>
        </is>
      </c>
      <c r="F84" s="46" t="str"/>
      <c r="G84" s="73" t="n">
        <v>525000</v>
      </c>
      <c r="H84" s="74" t="n"/>
      <c r="I84" s="75" t="n">
        <v>2</v>
      </c>
      <c r="J84" s="76" t="n">
        <v>2</v>
      </c>
      <c r="K84" s="77" t="n">
        <v>962</v>
      </c>
      <c r="L84" s="46" t="inlineStr">
        <is>
          <t>Unknown</t>
        </is>
      </c>
      <c r="M84" s="46" t="inlineStr">
        <is>
          <t>Recovered from indexed Redfin/property sources; exact row source not individually re-opened</t>
        </is>
      </c>
      <c r="N84" s="46" t="inlineStr">
        <is>
          <t>https://www.redfin.com/real-estate-agents/gurmeet-singh</t>
        </is>
      </c>
      <c r="O84" s="46" t="inlineStr">
        <is>
          <t>Historical transaction recovered during deep search; verify against MLS before publishing as authoritative.</t>
        </is>
      </c>
      <c r="P84" t="inlineStr">
        <is>
          <t>Recovered</t>
        </is>
      </c>
      <c r="Q84" t="inlineStr">
        <is>
          <t>Unknown</t>
        </is>
      </c>
      <c r="R84" s="70" t="inlineStr">
        <is>
          <t>https://www.google.com/search?tbm=isch&amp;q=%2237200+Meadowbrook+Cmn+%23103%22+Fremont+CA+house</t>
        </is>
      </c>
    </row>
    <row r="85">
      <c r="A85" s="33" t="n">
        <v>84</v>
      </c>
      <c r="B85" s="33" t="inlineStr">
        <is>
          <t>Sold / recovered</t>
        </is>
      </c>
      <c r="C85" s="46" t="inlineStr">
        <is>
          <t>32209 Minturn Ct</t>
        </is>
      </c>
      <c r="D85" s="46" t="inlineStr">
        <is>
          <t>Union City</t>
        </is>
      </c>
      <c r="E85" s="46" t="inlineStr">
        <is>
          <t>CA</t>
        </is>
      </c>
      <c r="F85" s="46" t="str"/>
      <c r="G85" s="73" t="n">
        <v>514500</v>
      </c>
      <c r="H85" s="74" t="n"/>
      <c r="I85" s="75" t="n">
        <v>4</v>
      </c>
      <c r="J85" s="76" t="n">
        <v>2</v>
      </c>
      <c r="K85" s="77" t="n">
        <v>1708</v>
      </c>
      <c r="L85" s="46" t="inlineStr">
        <is>
          <t>Unknown</t>
        </is>
      </c>
      <c r="M85" s="46" t="inlineStr">
        <is>
          <t>Recovered from indexed Redfin/property sources; exact row source not individually re-opened</t>
        </is>
      </c>
      <c r="N85" s="46" t="inlineStr">
        <is>
          <t>https://www.redfin.com/real-estate-agents/gurmeet-singh</t>
        </is>
      </c>
      <c r="O85" s="46" t="inlineStr">
        <is>
          <t>Historical transaction recovered during deep search; verify against MLS before publishing as authoritative.</t>
        </is>
      </c>
      <c r="P85" t="inlineStr">
        <is>
          <t>Recovered</t>
        </is>
      </c>
      <c r="Q85" t="inlineStr">
        <is>
          <t>Unknown</t>
        </is>
      </c>
      <c r="R85" s="70" t="inlineStr">
        <is>
          <t>https://www.google.com/search?tbm=isch&amp;q=%2232209+Minturn+Ct%22+Union+City+CA+house</t>
        </is>
      </c>
    </row>
    <row r="86">
      <c r="A86" s="33" t="n">
        <v>85</v>
      </c>
      <c r="B86" s="33" t="inlineStr">
        <is>
          <t>Sold / recovered</t>
        </is>
      </c>
      <c r="C86" s="46" t="inlineStr">
        <is>
          <t>478 Ribier Ct</t>
        </is>
      </c>
      <c r="D86" s="46" t="inlineStr">
        <is>
          <t>Manteca</t>
        </is>
      </c>
      <c r="E86" s="46" t="inlineStr">
        <is>
          <t>CA</t>
        </is>
      </c>
      <c r="F86" s="46" t="str"/>
      <c r="G86" s="73" t="n">
        <v>511500</v>
      </c>
      <c r="H86" s="74" t="n"/>
      <c r="I86" s="75" t="n">
        <v>4</v>
      </c>
      <c r="J86" s="76" t="n">
        <v>2</v>
      </c>
      <c r="K86" s="77" t="n">
        <v>1811</v>
      </c>
      <c r="L86" s="46" t="inlineStr">
        <is>
          <t>Unknown</t>
        </is>
      </c>
      <c r="M86" s="46" t="inlineStr">
        <is>
          <t>Recovered from indexed Redfin/property sources; exact row source not individually re-opened</t>
        </is>
      </c>
      <c r="N86" s="46" t="inlineStr">
        <is>
          <t>https://www.redfin.com/real-estate-agents/gurmeet-singh</t>
        </is>
      </c>
      <c r="O86" s="46" t="inlineStr">
        <is>
          <t>Historical transaction recovered during deep search; verify against MLS before publishing as authoritative.</t>
        </is>
      </c>
      <c r="P86" t="inlineStr">
        <is>
          <t>Recovered</t>
        </is>
      </c>
      <c r="Q86" t="inlineStr">
        <is>
          <t>Unknown</t>
        </is>
      </c>
      <c r="R86" s="70" t="inlineStr">
        <is>
          <t>https://www.google.com/search?tbm=isch&amp;q=%22478+Ribier+Ct%22+Manteca+CA+house</t>
        </is>
      </c>
    </row>
    <row r="87">
      <c r="A87" s="33" t="n">
        <v>86</v>
      </c>
      <c r="B87" s="33" t="inlineStr">
        <is>
          <t>Sold / recovered</t>
        </is>
      </c>
      <c r="C87" s="46" t="inlineStr">
        <is>
          <t>27443 Ponderosa Ct</t>
        </is>
      </c>
      <c r="D87" s="46" t="inlineStr">
        <is>
          <t>Hayward</t>
        </is>
      </c>
      <c r="E87" s="46" t="inlineStr">
        <is>
          <t>CA</t>
        </is>
      </c>
      <c r="F87" s="46" t="str"/>
      <c r="G87" s="73" t="n">
        <v>497500</v>
      </c>
      <c r="H87" s="74" t="n"/>
      <c r="I87" s="75" t="n">
        <v>2</v>
      </c>
      <c r="J87" s="76" t="n">
        <v>1.5</v>
      </c>
      <c r="K87" s="77" t="n">
        <v>988</v>
      </c>
      <c r="L87" s="46" t="inlineStr">
        <is>
          <t>Unknown</t>
        </is>
      </c>
      <c r="M87" s="46" t="inlineStr">
        <is>
          <t>Recovered from indexed Redfin/property sources; exact row source not individually re-opened</t>
        </is>
      </c>
      <c r="N87" s="46" t="inlineStr">
        <is>
          <t>https://www.redfin.com/real-estate-agents/gurmeet-singh</t>
        </is>
      </c>
      <c r="O87" s="46" t="inlineStr">
        <is>
          <t>Historical transaction recovered during deep search; verify against MLS before publishing as authoritative.</t>
        </is>
      </c>
      <c r="P87" t="inlineStr">
        <is>
          <t>Recovered</t>
        </is>
      </c>
      <c r="Q87" t="inlineStr">
        <is>
          <t>Unknown</t>
        </is>
      </c>
      <c r="R87" s="70" t="inlineStr">
        <is>
          <t>https://www.google.com/search?tbm=isch&amp;q=%2227443+Ponderosa+Ct%22+Hayward+CA+house</t>
        </is>
      </c>
    </row>
    <row r="88">
      <c r="A88" s="33" t="n">
        <v>87</v>
      </c>
      <c r="B88" s="33" t="inlineStr">
        <is>
          <t>Sold / recovered</t>
        </is>
      </c>
      <c r="C88" s="46" t="inlineStr">
        <is>
          <t>449 N Estes Way</t>
        </is>
      </c>
      <c r="D88" s="46" t="inlineStr">
        <is>
          <t>Mountain House</t>
        </is>
      </c>
      <c r="E88" s="46" t="inlineStr">
        <is>
          <t>CA</t>
        </is>
      </c>
      <c r="F88" s="46" t="str"/>
      <c r="G88" s="73" t="n">
        <v>490000</v>
      </c>
      <c r="H88" s="74" t="n"/>
      <c r="I88" s="75" t="n">
        <v>3</v>
      </c>
      <c r="J88" s="76" t="n">
        <v>2</v>
      </c>
      <c r="K88" s="77" t="n">
        <v>1655</v>
      </c>
      <c r="L88" s="46" t="inlineStr">
        <is>
          <t>Unknown</t>
        </is>
      </c>
      <c r="M88" s="46" t="inlineStr">
        <is>
          <t>Recovered from indexed Redfin/property sources; exact row source not individually re-opened</t>
        </is>
      </c>
      <c r="N88" s="46" t="inlineStr">
        <is>
          <t>https://www.redfin.com/real-estate-agents/gurmeet-singh</t>
        </is>
      </c>
      <c r="O88" s="46" t="inlineStr">
        <is>
          <t>Historical transaction recovered during deep search; verify against MLS before publishing as authoritative.</t>
        </is>
      </c>
      <c r="P88" t="inlineStr">
        <is>
          <t>Recovered</t>
        </is>
      </c>
      <c r="Q88" t="inlineStr">
        <is>
          <t>Unknown</t>
        </is>
      </c>
      <c r="R88" s="70" t="inlineStr">
        <is>
          <t>https://www.google.com/search?tbm=isch&amp;q=%22449+N+Estes+Way%22+Mountain+House+CA+house</t>
        </is>
      </c>
    </row>
    <row r="89">
      <c r="A89" s="33" t="n">
        <v>88</v>
      </c>
      <c r="B89" s="33" t="inlineStr">
        <is>
          <t>Sold / recovered</t>
        </is>
      </c>
      <c r="C89" s="46" t="inlineStr">
        <is>
          <t>1926 Hummingbird Dr</t>
        </is>
      </c>
      <c r="D89" s="46" t="inlineStr">
        <is>
          <t>Fairfield</t>
        </is>
      </c>
      <c r="E89" s="46" t="inlineStr">
        <is>
          <t>CA</t>
        </is>
      </c>
      <c r="F89" s="46" t="str"/>
      <c r="G89" s="73" t="n">
        <v>470000</v>
      </c>
      <c r="H89" s="74" t="n"/>
      <c r="I89" s="75" t="n">
        <v>4</v>
      </c>
      <c r="J89" s="76" t="n">
        <v>2.5</v>
      </c>
      <c r="K89" s="77" t="n">
        <v>2160</v>
      </c>
      <c r="L89" s="46" t="inlineStr">
        <is>
          <t>Unknown</t>
        </is>
      </c>
      <c r="M89" s="46" t="inlineStr">
        <is>
          <t>Recovered from indexed Redfin/property sources; exact row source not individually re-opened</t>
        </is>
      </c>
      <c r="N89" s="46" t="inlineStr">
        <is>
          <t>https://www.redfin.com/real-estate-agents/gurmeet-singh</t>
        </is>
      </c>
      <c r="O89" s="46" t="inlineStr">
        <is>
          <t>Historical transaction recovered during deep search; verify against MLS before publishing as authoritative.</t>
        </is>
      </c>
      <c r="P89" t="inlineStr">
        <is>
          <t>Recovered</t>
        </is>
      </c>
      <c r="Q89" t="inlineStr">
        <is>
          <t>Unknown</t>
        </is>
      </c>
      <c r="R89" s="70" t="inlineStr">
        <is>
          <t>https://www.google.com/search?tbm=isch&amp;q=%221926+Hummingbird+Dr%22+Fairfield+CA+house</t>
        </is>
      </c>
    </row>
    <row r="90">
      <c r="A90" s="33" t="n">
        <v>89</v>
      </c>
      <c r="B90" s="33" t="inlineStr">
        <is>
          <t>Sold / recovered</t>
        </is>
      </c>
      <c r="C90" s="46" t="inlineStr">
        <is>
          <t>3725 Waynesboro Dr</t>
        </is>
      </c>
      <c r="D90" s="46" t="inlineStr">
        <is>
          <t>Ceres</t>
        </is>
      </c>
      <c r="E90" s="46" t="inlineStr">
        <is>
          <t>CA</t>
        </is>
      </c>
      <c r="F90" s="46" t="str"/>
      <c r="G90" s="73" t="n">
        <v>468000</v>
      </c>
      <c r="H90" s="74" t="n"/>
      <c r="I90" s="75" t="n">
        <v>5</v>
      </c>
      <c r="J90" s="76" t="n">
        <v>3</v>
      </c>
      <c r="K90" s="77" t="n">
        <v>3187</v>
      </c>
      <c r="L90" s="46" t="inlineStr">
        <is>
          <t>Unknown</t>
        </is>
      </c>
      <c r="M90" s="46" t="inlineStr">
        <is>
          <t>Recovered from indexed Redfin/property sources; exact row source not individually re-opened</t>
        </is>
      </c>
      <c r="N90" s="46" t="inlineStr">
        <is>
          <t>https://www.redfin.com/real-estate-agents/gurmeet-singh</t>
        </is>
      </c>
      <c r="O90" s="46" t="inlineStr">
        <is>
          <t>Historical transaction recovered during deep search; verify against MLS before publishing as authoritative.</t>
        </is>
      </c>
      <c r="P90" t="inlineStr">
        <is>
          <t>Recovered</t>
        </is>
      </c>
      <c r="Q90" t="inlineStr">
        <is>
          <t>Unknown</t>
        </is>
      </c>
      <c r="R90" s="70" t="inlineStr">
        <is>
          <t>https://www.google.com/search?tbm=isch&amp;q=%223725+Waynesboro+Dr%22+Ceres+CA+house</t>
        </is>
      </c>
    </row>
    <row r="91">
      <c r="A91" s="33" t="n">
        <v>90</v>
      </c>
      <c r="B91" s="33" t="inlineStr">
        <is>
          <t>Sold / recovered</t>
        </is>
      </c>
      <c r="C91" s="46" t="inlineStr">
        <is>
          <t>1037 Stillspring Dr</t>
        </is>
      </c>
      <c r="D91" s="46" t="inlineStr">
        <is>
          <t>Vacaville</t>
        </is>
      </c>
      <c r="E91" s="46" t="inlineStr">
        <is>
          <t>CA</t>
        </is>
      </c>
      <c r="F91" s="46" t="str"/>
      <c r="G91" s="73" t="n">
        <v>437500</v>
      </c>
      <c r="H91" s="74" t="n"/>
      <c r="I91" s="75" t="n">
        <v>4</v>
      </c>
      <c r="J91" s="76" t="n">
        <v>3</v>
      </c>
      <c r="K91" s="77" t="n">
        <v>4054</v>
      </c>
      <c r="L91" s="46" t="inlineStr">
        <is>
          <t>Unknown</t>
        </is>
      </c>
      <c r="M91" s="46" t="inlineStr">
        <is>
          <t>Recovered from indexed Redfin/property sources; exact row source not individually re-opened</t>
        </is>
      </c>
      <c r="N91" s="46" t="inlineStr">
        <is>
          <t>https://www.redfin.com/real-estate-agents/gurmeet-singh</t>
        </is>
      </c>
      <c r="O91" s="46" t="inlineStr">
        <is>
          <t>Historical transaction recovered during deep search; verify against MLS before publishing as authoritative.</t>
        </is>
      </c>
      <c r="P91" t="inlineStr">
        <is>
          <t>Recovered</t>
        </is>
      </c>
      <c r="Q91" t="inlineStr">
        <is>
          <t>Unknown</t>
        </is>
      </c>
      <c r="R91" s="70" t="inlineStr">
        <is>
          <t>https://www.google.com/search?tbm=isch&amp;q=%221037+Stillspring+Dr%22+Vacaville+CA+house</t>
        </is>
      </c>
    </row>
    <row r="92">
      <c r="A92" s="33" t="n">
        <v>91</v>
      </c>
      <c r="B92" s="33" t="inlineStr">
        <is>
          <t>Sold / recovered</t>
        </is>
      </c>
      <c r="C92" s="46" t="inlineStr">
        <is>
          <t>4095 Abbey Ter #131</t>
        </is>
      </c>
      <c r="D92" s="46" t="inlineStr">
        <is>
          <t>Fremont</t>
        </is>
      </c>
      <c r="E92" s="46" t="inlineStr">
        <is>
          <t>CA</t>
        </is>
      </c>
      <c r="F92" s="46" t="str"/>
      <c r="G92" s="73" t="n">
        <v>432550</v>
      </c>
      <c r="H92" s="74" t="n"/>
      <c r="I92" s="75" t="n">
        <v>2</v>
      </c>
      <c r="J92" s="76" t="n">
        <v>2</v>
      </c>
      <c r="K92" s="77" t="n">
        <v>823</v>
      </c>
      <c r="L92" s="46" t="inlineStr">
        <is>
          <t>Unknown</t>
        </is>
      </c>
      <c r="M92" s="46" t="inlineStr">
        <is>
          <t>Recovered from indexed Redfin/property sources; exact row source not individually re-opened</t>
        </is>
      </c>
      <c r="N92" s="46" t="inlineStr">
        <is>
          <t>https://www.redfin.com/real-estate-agents/gurmeet-singh</t>
        </is>
      </c>
      <c r="O92" s="46" t="inlineStr">
        <is>
          <t>Historical transaction recovered during deep search; verify against MLS before publishing as authoritative.</t>
        </is>
      </c>
      <c r="P92" t="inlineStr">
        <is>
          <t>Recovered</t>
        </is>
      </c>
      <c r="Q92" t="inlineStr">
        <is>
          <t>Unknown</t>
        </is>
      </c>
      <c r="R92" s="70" t="inlineStr">
        <is>
          <t>https://www.google.com/search?tbm=isch&amp;q=%224095+Abbey+Ter+%23131%22+Fremont+CA+house</t>
        </is>
      </c>
    </row>
    <row r="93">
      <c r="A93" s="33" t="n">
        <v>92</v>
      </c>
      <c r="B93" s="33" t="inlineStr">
        <is>
          <t>Sold</t>
        </is>
      </c>
      <c r="C93" s="46" t="inlineStr">
        <is>
          <t>34819 Starling Dr #1</t>
        </is>
      </c>
      <c r="D93" s="46" t="inlineStr">
        <is>
          <t>Union City</t>
        </is>
      </c>
      <c r="E93" s="46" t="inlineStr">
        <is>
          <t>CA</t>
        </is>
      </c>
      <c r="F93" s="46" t="inlineStr">
        <is>
          <t>94587</t>
        </is>
      </c>
      <c r="G93" s="73" t="n">
        <v>430000</v>
      </c>
      <c r="H93" s="74" t="n"/>
      <c r="I93" s="75" t="n">
        <v>2</v>
      </c>
      <c r="J93" s="76" t="n">
        <v>1</v>
      </c>
      <c r="K93" s="77" t="n">
        <v>810</v>
      </c>
      <c r="L93" s="46" t="inlineStr">
        <is>
          <t>Buyer</t>
        </is>
      </c>
      <c r="M93" s="46" t="inlineStr">
        <is>
          <t>High - Compass property page</t>
        </is>
      </c>
      <c r="N93" s="46" t="inlineStr">
        <is>
          <t>https://www.compass.com/homedetails/34819-Starling-Dr-Unit-1-Union-City-CA-94587/1PPLFA_pid/</t>
        </is>
      </c>
      <c r="O93" s="46" t="inlineStr">
        <is>
          <t>2014 transaction.</t>
        </is>
      </c>
      <c r="P93" t="inlineStr">
        <is>
          <t>High</t>
        </is>
      </c>
      <c r="Q93" t="inlineStr">
        <is>
          <t>Buyer</t>
        </is>
      </c>
      <c r="R93" s="70" t="inlineStr">
        <is>
          <t>https://www.google.com/search?tbm=isch&amp;q=%2234819+Starling+Dr+%231%22+Union+City+CA+94587+house</t>
        </is>
      </c>
    </row>
    <row r="94">
      <c r="A94" s="33" t="n">
        <v>93</v>
      </c>
      <c r="B94" s="33" t="inlineStr">
        <is>
          <t>Sold / recovered</t>
        </is>
      </c>
      <c r="C94" s="46" t="inlineStr">
        <is>
          <t>6128 Lafayette Ave</t>
        </is>
      </c>
      <c r="D94" s="46" t="inlineStr">
        <is>
          <t>Newark</t>
        </is>
      </c>
      <c r="E94" s="46" t="inlineStr">
        <is>
          <t>CA</t>
        </is>
      </c>
      <c r="F94" s="46" t="str"/>
      <c r="G94" s="73" t="n">
        <v>430000</v>
      </c>
      <c r="H94" s="74" t="n"/>
      <c r="I94" s="75" t="n">
        <v>3</v>
      </c>
      <c r="J94" s="76" t="n">
        <v>2</v>
      </c>
      <c r="K94" s="77" t="n">
        <v>1134</v>
      </c>
      <c r="L94" s="46" t="inlineStr">
        <is>
          <t>Unknown</t>
        </is>
      </c>
      <c r="M94" s="46" t="inlineStr">
        <is>
          <t>Recovered from indexed Redfin/property sources; exact row source not individually re-opened</t>
        </is>
      </c>
      <c r="N94" s="46" t="inlineStr">
        <is>
          <t>https://www.redfin.com/real-estate-agents/gurmeet-singh</t>
        </is>
      </c>
      <c r="O94" s="46" t="inlineStr">
        <is>
          <t>Historical transaction recovered during deep search; verify against MLS before publishing as authoritative.</t>
        </is>
      </c>
      <c r="P94" t="inlineStr">
        <is>
          <t>Recovered</t>
        </is>
      </c>
      <c r="Q94" t="inlineStr">
        <is>
          <t>Unknown</t>
        </is>
      </c>
      <c r="R94" s="70" t="inlineStr">
        <is>
          <t>https://www.google.com/search?tbm=isch&amp;q=%226128+Lafayette+Ave%22+Newark+CA+house</t>
        </is>
      </c>
    </row>
    <row r="95">
      <c r="A95" s="33" t="n">
        <v>94</v>
      </c>
      <c r="B95" s="33" t="inlineStr">
        <is>
          <t>Sold / recovered</t>
        </is>
      </c>
      <c r="C95" s="46" t="inlineStr">
        <is>
          <t>2139 Canary Ct #2</t>
        </is>
      </c>
      <c r="D95" s="46" t="inlineStr">
        <is>
          <t>Union City</t>
        </is>
      </c>
      <c r="E95" s="46" t="inlineStr">
        <is>
          <t>CA</t>
        </is>
      </c>
      <c r="F95" s="46" t="str"/>
      <c r="G95" s="73" t="n">
        <v>425000</v>
      </c>
      <c r="H95" s="74" t="n"/>
      <c r="I95" s="75" t="n">
        <v>2</v>
      </c>
      <c r="J95" s="76" t="n">
        <v>1</v>
      </c>
      <c r="K95" s="77" t="n">
        <v>903</v>
      </c>
      <c r="L95" s="46" t="inlineStr">
        <is>
          <t>Unknown</t>
        </is>
      </c>
      <c r="M95" s="46" t="inlineStr">
        <is>
          <t>Recovered from indexed Redfin/property sources; exact row source not individually re-opened</t>
        </is>
      </c>
      <c r="N95" s="46" t="inlineStr">
        <is>
          <t>https://www.redfin.com/real-estate-agents/gurmeet-singh</t>
        </is>
      </c>
      <c r="O95" s="46" t="inlineStr">
        <is>
          <t>Historical transaction recovered during deep search; verify against MLS before publishing as authoritative.</t>
        </is>
      </c>
      <c r="P95" t="inlineStr">
        <is>
          <t>Recovered</t>
        </is>
      </c>
      <c r="Q95" t="inlineStr">
        <is>
          <t>Unknown</t>
        </is>
      </c>
      <c r="R95" s="70" t="inlineStr">
        <is>
          <t>https://www.google.com/search?tbm=isch&amp;q=%222139+Canary+Ct+%232%22+Union+City+CA+house</t>
        </is>
      </c>
    </row>
    <row r="96">
      <c r="A96" s="33" t="n">
        <v>95</v>
      </c>
      <c r="B96" s="33" t="inlineStr">
        <is>
          <t>Sold / recovered</t>
        </is>
      </c>
      <c r="C96" s="46" t="inlineStr">
        <is>
          <t>359 Lexington Ave</t>
        </is>
      </c>
      <c r="D96" s="46" t="inlineStr">
        <is>
          <t>Hayward</t>
        </is>
      </c>
      <c r="E96" s="46" t="inlineStr">
        <is>
          <t>CA</t>
        </is>
      </c>
      <c r="F96" s="46" t="str"/>
      <c r="G96" s="73" t="n">
        <v>423000</v>
      </c>
      <c r="H96" s="74" t="n"/>
      <c r="I96" s="75" t="n">
        <v>4</v>
      </c>
      <c r="J96" s="76" t="n">
        <v>1</v>
      </c>
      <c r="K96" s="77" t="n">
        <v>1485</v>
      </c>
      <c r="L96" s="46" t="inlineStr">
        <is>
          <t>Unknown</t>
        </is>
      </c>
      <c r="M96" s="46" t="inlineStr">
        <is>
          <t>Recovered from indexed Redfin/property sources; exact row source not individually re-opened</t>
        </is>
      </c>
      <c r="N96" s="46" t="inlineStr">
        <is>
          <t>https://www.redfin.com/real-estate-agents/gurmeet-singh</t>
        </is>
      </c>
      <c r="O96" s="46" t="inlineStr">
        <is>
          <t>Historical transaction recovered during deep search; verify against MLS before publishing as authoritative.</t>
        </is>
      </c>
      <c r="P96" t="inlineStr">
        <is>
          <t>Recovered</t>
        </is>
      </c>
      <c r="Q96" t="inlineStr">
        <is>
          <t>Unknown</t>
        </is>
      </c>
      <c r="R96" s="70" t="inlineStr">
        <is>
          <t>https://www.google.com/search?tbm=isch&amp;q=%22359+Lexington+Ave%22+Hayward+CA+house</t>
        </is>
      </c>
    </row>
    <row r="97">
      <c r="A97" s="33" t="n">
        <v>96</v>
      </c>
      <c r="B97" s="33" t="inlineStr">
        <is>
          <t>Sold / recovered</t>
        </is>
      </c>
      <c r="C97" s="46" t="inlineStr">
        <is>
          <t>8508 Hermitage Way</t>
        </is>
      </c>
      <c r="D97" s="46" t="inlineStr">
        <is>
          <t>Sacramento</t>
        </is>
      </c>
      <c r="E97" s="46" t="inlineStr">
        <is>
          <t>CA</t>
        </is>
      </c>
      <c r="F97" s="46" t="str"/>
      <c r="G97" s="73" t="n">
        <v>411000</v>
      </c>
      <c r="H97" s="74" t="n"/>
      <c r="I97" s="75" t="n">
        <v>2</v>
      </c>
      <c r="J97" s="76" t="n">
        <v>2</v>
      </c>
      <c r="K97" s="77" t="n">
        <v>997</v>
      </c>
      <c r="L97" s="46" t="inlineStr">
        <is>
          <t>Unknown</t>
        </is>
      </c>
      <c r="M97" s="46" t="inlineStr">
        <is>
          <t>Recovered from indexed Redfin/property sources; exact row source not individually re-opened</t>
        </is>
      </c>
      <c r="N97" s="46" t="inlineStr">
        <is>
          <t>https://www.redfin.com/real-estate-agents/gurmeet-singh</t>
        </is>
      </c>
      <c r="O97" s="46" t="inlineStr">
        <is>
          <t>Historical transaction recovered during deep search; verify against MLS before publishing as authoritative.</t>
        </is>
      </c>
      <c r="P97" t="inlineStr">
        <is>
          <t>Recovered</t>
        </is>
      </c>
      <c r="Q97" t="inlineStr">
        <is>
          <t>Unknown</t>
        </is>
      </c>
      <c r="R97" s="70" t="inlineStr">
        <is>
          <t>https://www.google.com/search?tbm=isch&amp;q=%228508+Hermitage+Way%22+Sacramento+CA+house</t>
        </is>
      </c>
    </row>
    <row r="98">
      <c r="A98" s="33" t="n">
        <v>97</v>
      </c>
      <c r="B98" s="33" t="inlineStr">
        <is>
          <t>Sold / recovered</t>
        </is>
      </c>
      <c r="C98" s="46" t="inlineStr">
        <is>
          <t>663 E Alameda</t>
        </is>
      </c>
      <c r="D98" s="46" t="inlineStr">
        <is>
          <t>Manteca</t>
        </is>
      </c>
      <c r="E98" s="46" t="inlineStr">
        <is>
          <t>CA</t>
        </is>
      </c>
      <c r="F98" s="46" t="str"/>
      <c r="G98" s="73" t="n">
        <v>410000</v>
      </c>
      <c r="H98" s="74" t="n"/>
      <c r="I98" s="75" t="n">
        <v>3</v>
      </c>
      <c r="J98" s="76" t="n">
        <v>2</v>
      </c>
      <c r="K98" s="77" t="n">
        <v>1240</v>
      </c>
      <c r="L98" s="46" t="inlineStr">
        <is>
          <t>Unknown</t>
        </is>
      </c>
      <c r="M98" s="46" t="inlineStr">
        <is>
          <t>Recovered from indexed Redfin/property sources; exact row source not individually re-opened</t>
        </is>
      </c>
      <c r="N98" s="46" t="inlineStr">
        <is>
          <t>https://www.redfin.com/real-estate-agents/gurmeet-singh</t>
        </is>
      </c>
      <c r="O98" s="46" t="inlineStr">
        <is>
          <t>Historical transaction recovered during deep search; verify against MLS before publishing as authoritative.</t>
        </is>
      </c>
      <c r="P98" t="inlineStr">
        <is>
          <t>Recovered</t>
        </is>
      </c>
      <c r="Q98" t="inlineStr">
        <is>
          <t>Unknown</t>
        </is>
      </c>
      <c r="R98" s="70" t="inlineStr">
        <is>
          <t>https://www.google.com/search?tbm=isch&amp;q=%22663+E+Alameda%22+Manteca+CA+house</t>
        </is>
      </c>
    </row>
    <row r="99">
      <c r="A99" s="33" t="n">
        <v>98</v>
      </c>
      <c r="B99" s="33" t="inlineStr">
        <is>
          <t>Sold / recovered</t>
        </is>
      </c>
      <c r="C99" s="46" t="inlineStr">
        <is>
          <t>27520 Ponderosa Ct</t>
        </is>
      </c>
      <c r="D99" s="46" t="inlineStr">
        <is>
          <t>Hayward</t>
        </is>
      </c>
      <c r="E99" s="46" t="inlineStr">
        <is>
          <t>CA</t>
        </is>
      </c>
      <c r="F99" s="46" t="str"/>
      <c r="G99" s="73" t="n">
        <v>408500</v>
      </c>
      <c r="H99" s="74" t="n"/>
      <c r="I99" s="75" t="n">
        <v>3</v>
      </c>
      <c r="J99" s="76" t="n">
        <v>1.5</v>
      </c>
      <c r="K99" s="77" t="n">
        <v>1254</v>
      </c>
      <c r="L99" s="46" t="inlineStr">
        <is>
          <t>Unknown</t>
        </is>
      </c>
      <c r="M99" s="46" t="inlineStr">
        <is>
          <t>Recovered from indexed Redfin/property sources; exact row source not individually re-opened</t>
        </is>
      </c>
      <c r="N99" s="46" t="inlineStr">
        <is>
          <t>https://www.redfin.com/real-estate-agents/gurmeet-singh</t>
        </is>
      </c>
      <c r="O99" s="46" t="inlineStr">
        <is>
          <t>Historical transaction recovered during deep search; verify against MLS before publishing as authoritative.</t>
        </is>
      </c>
      <c r="P99" t="inlineStr">
        <is>
          <t>Recovered</t>
        </is>
      </c>
      <c r="Q99" t="inlineStr">
        <is>
          <t>Unknown</t>
        </is>
      </c>
      <c r="R99" s="70" t="inlineStr">
        <is>
          <t>https://www.google.com/search?tbm=isch&amp;q=%2227520+Ponderosa+Ct%22+Hayward+CA+house</t>
        </is>
      </c>
    </row>
    <row r="100">
      <c r="A100" s="33" t="n">
        <v>99</v>
      </c>
      <c r="B100" s="33" t="inlineStr">
        <is>
          <t>Sold / recovered</t>
        </is>
      </c>
      <c r="C100" s="46" t="inlineStr">
        <is>
          <t>2549 Copa Del Oro Dr</t>
        </is>
      </c>
      <c r="D100" s="46" t="inlineStr">
        <is>
          <t>Union City</t>
        </is>
      </c>
      <c r="E100" s="46" t="inlineStr">
        <is>
          <t>CA</t>
        </is>
      </c>
      <c r="F100" s="46" t="str"/>
      <c r="G100" s="73" t="n">
        <v>405000</v>
      </c>
      <c r="H100" s="74" t="n"/>
      <c r="I100" s="75" t="n">
        <v>2</v>
      </c>
      <c r="J100" s="76" t="n">
        <v>2</v>
      </c>
      <c r="K100" s="77" t="n">
        <v>966</v>
      </c>
      <c r="L100" s="46" t="inlineStr">
        <is>
          <t>Unknown</t>
        </is>
      </c>
      <c r="M100" s="46" t="inlineStr">
        <is>
          <t>Recovered from indexed Redfin/property sources; exact row source not individually re-opened</t>
        </is>
      </c>
      <c r="N100" s="46" t="inlineStr">
        <is>
          <t>https://www.redfin.com/real-estate-agents/gurmeet-singh</t>
        </is>
      </c>
      <c r="O100" s="46" t="inlineStr">
        <is>
          <t>Historical transaction recovered during deep search; verify against MLS before publishing as authoritative.</t>
        </is>
      </c>
      <c r="P100" t="inlineStr">
        <is>
          <t>Recovered</t>
        </is>
      </c>
      <c r="Q100" t="inlineStr">
        <is>
          <t>Unknown</t>
        </is>
      </c>
      <c r="R100" s="70" t="inlineStr">
        <is>
          <t>https://www.google.com/search?tbm=isch&amp;q=%222549+Copa+Del+Oro+Dr%22+Union+City+CA+house</t>
        </is>
      </c>
    </row>
    <row r="101">
      <c r="A101" s="33" t="n">
        <v>100</v>
      </c>
      <c r="B101" s="33" t="inlineStr">
        <is>
          <t>Sold / recovered</t>
        </is>
      </c>
      <c r="C101" s="46" t="inlineStr">
        <is>
          <t>112 Camino Plz</t>
        </is>
      </c>
      <c r="D101" s="46" t="inlineStr">
        <is>
          <t>Union City</t>
        </is>
      </c>
      <c r="E101" s="46" t="inlineStr">
        <is>
          <t>CA</t>
        </is>
      </c>
      <c r="F101" s="46" t="str"/>
      <c r="G101" s="73" t="n">
        <v>395000</v>
      </c>
      <c r="H101" s="74" t="n"/>
      <c r="I101" s="75" t="n">
        <v>2</v>
      </c>
      <c r="J101" s="76" t="n">
        <v>2</v>
      </c>
      <c r="K101" s="77" t="n">
        <v>880</v>
      </c>
      <c r="L101" s="46" t="inlineStr">
        <is>
          <t>Unknown</t>
        </is>
      </c>
      <c r="M101" s="46" t="inlineStr">
        <is>
          <t>Recovered from indexed Redfin/property sources; exact row source not individually re-opened</t>
        </is>
      </c>
      <c r="N101" s="46" t="inlineStr">
        <is>
          <t>https://www.redfin.com/real-estate-agents/gurmeet-singh</t>
        </is>
      </c>
      <c r="O101" s="46" t="inlineStr">
        <is>
          <t>Historical transaction recovered during deep search; verify against MLS before publishing as authoritative.</t>
        </is>
      </c>
      <c r="P101" t="inlineStr">
        <is>
          <t>Recovered</t>
        </is>
      </c>
      <c r="Q101" t="inlineStr">
        <is>
          <t>Unknown</t>
        </is>
      </c>
      <c r="R101" s="70" t="inlineStr">
        <is>
          <t>https://www.google.com/search?tbm=isch&amp;q=%22112+Camino+Plz%22+Union+City+CA+house</t>
        </is>
      </c>
    </row>
    <row r="102">
      <c r="A102" s="33" t="n">
        <v>101</v>
      </c>
      <c r="B102" s="33" t="inlineStr">
        <is>
          <t>Sold / recovered</t>
        </is>
      </c>
      <c r="C102" s="46" t="inlineStr">
        <is>
          <t>3228 Red Cedar Ter</t>
        </is>
      </c>
      <c r="D102" s="46" t="inlineStr">
        <is>
          <t>Fremont</t>
        </is>
      </c>
      <c r="E102" s="46" t="inlineStr">
        <is>
          <t>CA</t>
        </is>
      </c>
      <c r="F102" s="46" t="str"/>
      <c r="G102" s="73" t="n">
        <v>390500</v>
      </c>
      <c r="H102" s="74" t="n"/>
      <c r="I102" s="75" t="n">
        <v>2</v>
      </c>
      <c r="J102" s="76" t="n">
        <v>1</v>
      </c>
      <c r="K102" s="77" t="n">
        <v>750</v>
      </c>
      <c r="L102" s="46" t="inlineStr">
        <is>
          <t>Unknown</t>
        </is>
      </c>
      <c r="M102" s="46" t="inlineStr">
        <is>
          <t>Recovered from indexed Redfin/property sources; exact row source not individually re-opened</t>
        </is>
      </c>
      <c r="N102" s="46" t="inlineStr">
        <is>
          <t>https://www.redfin.com/real-estate-agents/gurmeet-singh</t>
        </is>
      </c>
      <c r="O102" s="46" t="inlineStr">
        <is>
          <t>Historical transaction recovered during deep search; verify against MLS before publishing as authoritative.</t>
        </is>
      </c>
      <c r="P102" t="inlineStr">
        <is>
          <t>Recovered</t>
        </is>
      </c>
      <c r="Q102" t="inlineStr">
        <is>
          <t>Unknown</t>
        </is>
      </c>
      <c r="R102" s="70" t="inlineStr">
        <is>
          <t>https://www.google.com/search?tbm=isch&amp;q=%223228+Red+Cedar+Ter%22+Fremont+CA+house</t>
        </is>
      </c>
    </row>
    <row r="103">
      <c r="A103" s="33" t="n">
        <v>102</v>
      </c>
      <c r="B103" s="33" t="inlineStr">
        <is>
          <t>Sold / recovered</t>
        </is>
      </c>
      <c r="C103" s="46" t="inlineStr">
        <is>
          <t>3324 Longview Rd</t>
        </is>
      </c>
      <c r="D103" s="46" t="inlineStr">
        <is>
          <t>Antioch</t>
        </is>
      </c>
      <c r="E103" s="46" t="inlineStr">
        <is>
          <t>CA</t>
        </is>
      </c>
      <c r="F103" s="46" t="str"/>
      <c r="G103" s="73" t="n">
        <v>387500</v>
      </c>
      <c r="H103" s="74" t="n"/>
      <c r="I103" s="75" t="n">
        <v>3</v>
      </c>
      <c r="J103" s="76" t="n">
        <v>2</v>
      </c>
      <c r="K103" s="77" t="n">
        <v>1330</v>
      </c>
      <c r="L103" s="46" t="inlineStr">
        <is>
          <t>Unknown</t>
        </is>
      </c>
      <c r="M103" s="46" t="inlineStr">
        <is>
          <t>Recovered from indexed Redfin/property sources; exact row source not individually re-opened</t>
        </is>
      </c>
      <c r="N103" s="46" t="inlineStr">
        <is>
          <t>https://www.redfin.com/real-estate-agents/gurmeet-singh</t>
        </is>
      </c>
      <c r="O103" s="46" t="inlineStr">
        <is>
          <t>Historical transaction recovered during deep search; verify against MLS before publishing as authoritative.</t>
        </is>
      </c>
      <c r="P103" t="inlineStr">
        <is>
          <t>Recovered</t>
        </is>
      </c>
      <c r="Q103" t="inlineStr">
        <is>
          <t>Unknown</t>
        </is>
      </c>
      <c r="R103" s="70" t="inlineStr">
        <is>
          <t>https://www.google.com/search?tbm=isch&amp;q=%223324+Longview+Rd%22+Antioch+CA+house</t>
        </is>
      </c>
    </row>
    <row r="104">
      <c r="A104" s="33" t="n">
        <v>103</v>
      </c>
      <c r="B104" s="33" t="inlineStr">
        <is>
          <t>Sold / recovered</t>
        </is>
      </c>
      <c r="C104" s="46" t="inlineStr">
        <is>
          <t>337 Shepherd Ave</t>
        </is>
      </c>
      <c r="D104" s="46" t="inlineStr">
        <is>
          <t>Hayward</t>
        </is>
      </c>
      <c r="E104" s="46" t="inlineStr">
        <is>
          <t>CA</t>
        </is>
      </c>
      <c r="F104" s="46" t="str"/>
      <c r="G104" s="73" t="n">
        <v>384300</v>
      </c>
      <c r="H104" s="74" t="n"/>
      <c r="I104" s="75" t="n">
        <v>3</v>
      </c>
      <c r="J104" s="76" t="n">
        <v>1.5</v>
      </c>
      <c r="K104" s="77" t="n">
        <v>1000</v>
      </c>
      <c r="L104" s="46" t="inlineStr">
        <is>
          <t>Unknown</t>
        </is>
      </c>
      <c r="M104" s="46" t="inlineStr">
        <is>
          <t>Recovered from indexed Redfin/property sources; exact row source not individually re-opened</t>
        </is>
      </c>
      <c r="N104" s="46" t="inlineStr">
        <is>
          <t>https://www.redfin.com/real-estate-agents/gurmeet-singh</t>
        </is>
      </c>
      <c r="O104" s="46" t="inlineStr">
        <is>
          <t>Historical transaction recovered during deep search; verify against MLS before publishing as authoritative.</t>
        </is>
      </c>
      <c r="P104" t="inlineStr">
        <is>
          <t>Recovered</t>
        </is>
      </c>
      <c r="Q104" t="inlineStr">
        <is>
          <t>Unknown</t>
        </is>
      </c>
      <c r="R104" s="70" t="inlineStr">
        <is>
          <t>https://www.google.com/search?tbm=isch&amp;q=%22337+Shepherd+Ave%22+Hayward+CA+house</t>
        </is>
      </c>
    </row>
    <row r="105">
      <c r="A105" s="33" t="n">
        <v>104</v>
      </c>
      <c r="B105" s="33" t="inlineStr">
        <is>
          <t>Sold / recovered</t>
        </is>
      </c>
      <c r="C105" s="46" t="inlineStr">
        <is>
          <t>543 Argonaut St</t>
        </is>
      </c>
      <c r="D105" s="46" t="inlineStr">
        <is>
          <t>Manteca</t>
        </is>
      </c>
      <c r="E105" s="46" t="inlineStr">
        <is>
          <t>CA</t>
        </is>
      </c>
      <c r="F105" s="46" t="str"/>
      <c r="G105" s="73" t="n">
        <v>380000</v>
      </c>
      <c r="H105" s="74" t="n"/>
      <c r="I105" s="75" t="n">
        <v>3</v>
      </c>
      <c r="J105" s="76" t="n">
        <v>2</v>
      </c>
      <c r="K105" s="77" t="n">
        <v>1343</v>
      </c>
      <c r="L105" s="46" t="inlineStr">
        <is>
          <t>Unknown</t>
        </is>
      </c>
      <c r="M105" s="46" t="inlineStr">
        <is>
          <t>Recovered from indexed Redfin/property sources; exact row source not individually re-opened</t>
        </is>
      </c>
      <c r="N105" s="46" t="inlineStr">
        <is>
          <t>https://www.redfin.com/real-estate-agents/gurmeet-singh</t>
        </is>
      </c>
      <c r="O105" s="46" t="inlineStr">
        <is>
          <t>Historical transaction recovered during deep search; verify against MLS before publishing as authoritative.</t>
        </is>
      </c>
      <c r="P105" t="inlineStr">
        <is>
          <t>Recovered</t>
        </is>
      </c>
      <c r="Q105" t="inlineStr">
        <is>
          <t>Unknown</t>
        </is>
      </c>
      <c r="R105" s="70" t="inlineStr">
        <is>
          <t>https://www.google.com/search?tbm=isch&amp;q=%22543+Argonaut+St%22+Manteca+CA+house</t>
        </is>
      </c>
    </row>
    <row r="106">
      <c r="A106" s="33" t="n">
        <v>105</v>
      </c>
      <c r="B106" s="33" t="inlineStr">
        <is>
          <t>Sold / recovered</t>
        </is>
      </c>
      <c r="C106" s="46" t="inlineStr">
        <is>
          <t>32640 Brenda Way #4</t>
        </is>
      </c>
      <c r="D106" s="46" t="inlineStr">
        <is>
          <t>Union City</t>
        </is>
      </c>
      <c r="E106" s="46" t="inlineStr">
        <is>
          <t>CA</t>
        </is>
      </c>
      <c r="F106" s="46" t="str"/>
      <c r="G106" s="73" t="n">
        <v>365500</v>
      </c>
      <c r="H106" s="74" t="n"/>
      <c r="I106" s="75" t="n">
        <v>2</v>
      </c>
      <c r="J106" s="76" t="n">
        <v>1</v>
      </c>
      <c r="K106" s="77" t="n">
        <v>798</v>
      </c>
      <c r="L106" s="46" t="inlineStr">
        <is>
          <t>Unknown</t>
        </is>
      </c>
      <c r="M106" s="46" t="inlineStr">
        <is>
          <t>Recovered from indexed Redfin/property sources; exact row source not individually re-opened</t>
        </is>
      </c>
      <c r="N106" s="46" t="inlineStr">
        <is>
          <t>https://www.redfin.com/real-estate-agents/gurmeet-singh</t>
        </is>
      </c>
      <c r="O106" s="46" t="inlineStr">
        <is>
          <t>Historical transaction recovered during deep search; verify against MLS before publishing as authoritative.</t>
        </is>
      </c>
      <c r="P106" t="inlineStr">
        <is>
          <t>Recovered</t>
        </is>
      </c>
      <c r="Q106" t="inlineStr">
        <is>
          <t>Unknown</t>
        </is>
      </c>
      <c r="R106" s="70" t="inlineStr">
        <is>
          <t>https://www.google.com/search?tbm=isch&amp;q=%2232640+Brenda+Way+%234%22+Union+City+CA+house</t>
        </is>
      </c>
    </row>
    <row r="107">
      <c r="A107" s="33" t="n">
        <v>106</v>
      </c>
      <c r="B107" s="33" t="inlineStr">
        <is>
          <t>Sold / recovered</t>
        </is>
      </c>
      <c r="C107" s="46" t="inlineStr">
        <is>
          <t>237 Tamarack Dr</t>
        </is>
      </c>
      <c r="D107" s="46" t="inlineStr">
        <is>
          <t>Union City</t>
        </is>
      </c>
      <c r="E107" s="46" t="inlineStr">
        <is>
          <t>CA</t>
        </is>
      </c>
      <c r="F107" s="46" t="str"/>
      <c r="G107" s="73" t="n">
        <v>351500</v>
      </c>
      <c r="H107" s="74" t="n"/>
      <c r="I107" s="75" t="n">
        <v>3</v>
      </c>
      <c r="J107" s="76" t="n">
        <v>2</v>
      </c>
      <c r="K107" s="77" t="n">
        <v>1683</v>
      </c>
      <c r="L107" s="46" t="inlineStr">
        <is>
          <t>Unknown</t>
        </is>
      </c>
      <c r="M107" s="46" t="inlineStr">
        <is>
          <t>Recovered from indexed Redfin/property sources; exact row source not individually re-opened</t>
        </is>
      </c>
      <c r="N107" s="46" t="inlineStr">
        <is>
          <t>https://www.redfin.com/real-estate-agents/gurmeet-singh</t>
        </is>
      </c>
      <c r="O107" s="46" t="inlineStr">
        <is>
          <t>Historical transaction recovered during deep search; verify against MLS before publishing as authoritative.</t>
        </is>
      </c>
      <c r="P107" t="inlineStr">
        <is>
          <t>Recovered</t>
        </is>
      </c>
      <c r="Q107" t="inlineStr">
        <is>
          <t>Unknown</t>
        </is>
      </c>
      <c r="R107" s="70" t="inlineStr">
        <is>
          <t>https://www.google.com/search?tbm=isch&amp;q=%22237+Tamarack+Dr%22+Union+City+CA+house</t>
        </is>
      </c>
    </row>
    <row r="108">
      <c r="A108" s="33" t="n">
        <v>107</v>
      </c>
      <c r="B108" s="33" t="inlineStr">
        <is>
          <t>Sold / recovered</t>
        </is>
      </c>
      <c r="C108" s="46" t="inlineStr">
        <is>
          <t>925 Vallerand Rd</t>
        </is>
      </c>
      <c r="D108" s="46" t="inlineStr">
        <is>
          <t>Tracy</t>
        </is>
      </c>
      <c r="E108" s="46" t="inlineStr">
        <is>
          <t>CA</t>
        </is>
      </c>
      <c r="F108" s="46" t="str"/>
      <c r="G108" s="73" t="n">
        <v>340700</v>
      </c>
      <c r="H108" s="74" t="n"/>
      <c r="I108" s="75" t="n">
        <v>4</v>
      </c>
      <c r="J108" s="76" t="n">
        <v>2.5</v>
      </c>
      <c r="K108" s="77" t="n">
        <v>1898</v>
      </c>
      <c r="L108" s="46" t="inlineStr">
        <is>
          <t>Unknown</t>
        </is>
      </c>
      <c r="M108" s="46" t="inlineStr">
        <is>
          <t>Recovered from indexed Redfin/property sources; exact row source not individually re-opened</t>
        </is>
      </c>
      <c r="N108" s="46" t="inlineStr">
        <is>
          <t>https://www.redfin.com/real-estate-agents/gurmeet-singh</t>
        </is>
      </c>
      <c r="O108" s="46" t="inlineStr">
        <is>
          <t>Historical transaction recovered during deep search; verify against MLS before publishing as authoritative.</t>
        </is>
      </c>
      <c r="P108" t="inlineStr">
        <is>
          <t>Recovered</t>
        </is>
      </c>
      <c r="Q108" t="inlineStr">
        <is>
          <t>Unknown</t>
        </is>
      </c>
      <c r="R108" s="70" t="inlineStr">
        <is>
          <t>https://www.google.com/search?tbm=isch&amp;q=%22925+Vallerand+Rd%22+Tracy+CA+house</t>
        </is>
      </c>
    </row>
    <row r="109">
      <c r="A109" s="33" t="n">
        <v>108</v>
      </c>
      <c r="B109" s="33" t="inlineStr">
        <is>
          <t>Sold / recovered</t>
        </is>
      </c>
      <c r="C109" s="46" t="inlineStr">
        <is>
          <t>1805 Gordon Verner Cir</t>
        </is>
      </c>
      <c r="D109" s="46" t="inlineStr">
        <is>
          <t>Stockton</t>
        </is>
      </c>
      <c r="E109" s="46" t="inlineStr">
        <is>
          <t>CA</t>
        </is>
      </c>
      <c r="F109" s="46" t="str"/>
      <c r="G109" s="73" t="n">
        <v>335000</v>
      </c>
      <c r="H109" s="74" t="n"/>
      <c r="I109" s="75" t="n">
        <v>3</v>
      </c>
      <c r="J109" s="76" t="n">
        <v>2.5</v>
      </c>
      <c r="K109" s="77" t="n">
        <v>1492</v>
      </c>
      <c r="L109" s="46" t="inlineStr">
        <is>
          <t>Unknown</t>
        </is>
      </c>
      <c r="M109" s="46" t="inlineStr">
        <is>
          <t>Recovered from indexed Redfin/property sources; exact row source not individually re-opened</t>
        </is>
      </c>
      <c r="N109" s="46" t="inlineStr">
        <is>
          <t>https://www.redfin.com/real-estate-agents/gurmeet-singh</t>
        </is>
      </c>
      <c r="O109" s="46" t="inlineStr">
        <is>
          <t>Historical transaction recovered during deep search; verify against MLS before publishing as authoritative.</t>
        </is>
      </c>
      <c r="P109" t="inlineStr">
        <is>
          <t>Recovered</t>
        </is>
      </c>
      <c r="Q109" t="inlineStr">
        <is>
          <t>Unknown</t>
        </is>
      </c>
      <c r="R109" s="70" t="inlineStr">
        <is>
          <t>https://www.google.com/search?tbm=isch&amp;q=%221805+Gordon+Verner+Cir%22+Stockton+CA+house</t>
        </is>
      </c>
    </row>
    <row r="110">
      <c r="A110" s="33" t="n">
        <v>109</v>
      </c>
      <c r="B110" s="33" t="inlineStr">
        <is>
          <t>Sold / recovered</t>
        </is>
      </c>
      <c r="C110" s="46" t="inlineStr">
        <is>
          <t>33609 11th St</t>
        </is>
      </c>
      <c r="D110" s="46" t="inlineStr">
        <is>
          <t>Union City</t>
        </is>
      </c>
      <c r="E110" s="46" t="inlineStr">
        <is>
          <t>CA</t>
        </is>
      </c>
      <c r="F110" s="46" t="str"/>
      <c r="G110" s="73" t="n">
        <v>330000</v>
      </c>
      <c r="H110" s="74" t="n"/>
      <c r="I110" s="75" t="n">
        <v>4</v>
      </c>
      <c r="J110" s="76" t="n">
        <v>2</v>
      </c>
      <c r="K110" s="77" t="n">
        <v>1498</v>
      </c>
      <c r="L110" s="46" t="inlineStr">
        <is>
          <t>Unknown</t>
        </is>
      </c>
      <c r="M110" s="46" t="inlineStr">
        <is>
          <t>Recovered from indexed Redfin/property sources; exact row source not individually re-opened</t>
        </is>
      </c>
      <c r="N110" s="46" t="inlineStr">
        <is>
          <t>https://www.redfin.com/real-estate-agents/gurmeet-singh</t>
        </is>
      </c>
      <c r="O110" s="46" t="inlineStr">
        <is>
          <t>Historical transaction recovered during deep search; verify against MLS before publishing as authoritative.</t>
        </is>
      </c>
      <c r="P110" t="inlineStr">
        <is>
          <t>Recovered</t>
        </is>
      </c>
      <c r="Q110" t="inlineStr">
        <is>
          <t>Unknown</t>
        </is>
      </c>
      <c r="R110" s="70" t="inlineStr">
        <is>
          <t>https://www.google.com/search?tbm=isch&amp;q=%2233609+11th+St%22+Union+City+CA+house</t>
        </is>
      </c>
    </row>
    <row r="111">
      <c r="A111" s="33" t="n">
        <v>110</v>
      </c>
      <c r="B111" s="33" t="inlineStr">
        <is>
          <t>Sold / recovered</t>
        </is>
      </c>
      <c r="C111" s="46" t="inlineStr">
        <is>
          <t>7115 Adrian Dr</t>
        </is>
      </c>
      <c r="D111" s="46" t="inlineStr">
        <is>
          <t>Rohnert Park</t>
        </is>
      </c>
      <c r="E111" s="46" t="inlineStr">
        <is>
          <t>CA</t>
        </is>
      </c>
      <c r="F111" s="46" t="str"/>
      <c r="G111" s="73" t="n">
        <v>325500</v>
      </c>
      <c r="H111" s="74" t="n"/>
      <c r="I111" s="75" t="n">
        <v>3</v>
      </c>
      <c r="J111" s="76" t="n">
        <v>2</v>
      </c>
      <c r="K111" s="77" t="n">
        <v>1200</v>
      </c>
      <c r="L111" s="46" t="inlineStr">
        <is>
          <t>Unknown</t>
        </is>
      </c>
      <c r="M111" s="46" t="inlineStr">
        <is>
          <t>Recovered from indexed Redfin/property sources; exact row source not individually re-opened</t>
        </is>
      </c>
      <c r="N111" s="46" t="inlineStr">
        <is>
          <t>https://www.redfin.com/real-estate-agents/gurmeet-singh</t>
        </is>
      </c>
      <c r="O111" s="46" t="inlineStr">
        <is>
          <t>Historical transaction recovered during deep search; verify against MLS before publishing as authoritative.</t>
        </is>
      </c>
      <c r="P111" t="inlineStr">
        <is>
          <t>Recovered</t>
        </is>
      </c>
      <c r="Q111" t="inlineStr">
        <is>
          <t>Unknown</t>
        </is>
      </c>
      <c r="R111" s="70" t="inlineStr">
        <is>
          <t>https://www.google.com/search?tbm=isch&amp;q=%227115+Adrian+Dr%22+Rohnert+Park+CA+house</t>
        </is>
      </c>
    </row>
    <row r="112">
      <c r="A112" s="33" t="n">
        <v>111</v>
      </c>
      <c r="B112" s="33" t="inlineStr">
        <is>
          <t>Sold / recovered</t>
        </is>
      </c>
      <c r="C112" s="46" t="inlineStr">
        <is>
          <t>1285 W Springer</t>
        </is>
      </c>
      <c r="D112" s="46" t="inlineStr">
        <is>
          <t>Turlock</t>
        </is>
      </c>
      <c r="E112" s="46" t="inlineStr">
        <is>
          <t>CA</t>
        </is>
      </c>
      <c r="F112" s="46" t="str"/>
      <c r="G112" s="73" t="n">
        <v>316500</v>
      </c>
      <c r="H112" s="74" t="n"/>
      <c r="I112" s="75" t="n">
        <v>4</v>
      </c>
      <c r="J112" s="76" t="n">
        <v>3</v>
      </c>
      <c r="K112" s="77" t="n">
        <v>2449</v>
      </c>
      <c r="L112" s="46" t="inlineStr">
        <is>
          <t>Unknown</t>
        </is>
      </c>
      <c r="M112" s="46" t="inlineStr">
        <is>
          <t>Recovered from indexed Redfin/property sources; exact row source not individually re-opened</t>
        </is>
      </c>
      <c r="N112" s="46" t="inlineStr">
        <is>
          <t>https://www.redfin.com/real-estate-agents/gurmeet-singh</t>
        </is>
      </c>
      <c r="O112" s="46" t="inlineStr">
        <is>
          <t>Historical transaction recovered during deep search; verify against MLS before publishing as authoritative.</t>
        </is>
      </c>
      <c r="P112" t="inlineStr">
        <is>
          <t>Recovered</t>
        </is>
      </c>
      <c r="Q112" t="inlineStr">
        <is>
          <t>Unknown</t>
        </is>
      </c>
      <c r="R112" s="70" t="inlineStr">
        <is>
          <t>https://www.google.com/search?tbm=isch&amp;q=%221285+W+Springer%22+Turlock+CA+house</t>
        </is>
      </c>
    </row>
    <row r="113">
      <c r="A113" s="33" t="n">
        <v>112</v>
      </c>
      <c r="B113" s="33" t="inlineStr">
        <is>
          <t>Sold / recovered</t>
        </is>
      </c>
      <c r="C113" s="46" t="inlineStr">
        <is>
          <t>7816 Empingham Way</t>
        </is>
      </c>
      <c r="D113" s="46" t="inlineStr">
        <is>
          <t>Sacramento</t>
        </is>
      </c>
      <c r="E113" s="46" t="inlineStr">
        <is>
          <t>CA</t>
        </is>
      </c>
      <c r="F113" s="46" t="str"/>
      <c r="G113" s="73" t="n">
        <v>310000</v>
      </c>
      <c r="H113" s="74" t="n"/>
      <c r="I113" s="75" t="n">
        <v>3</v>
      </c>
      <c r="J113" s="76" t="n">
        <v>2</v>
      </c>
      <c r="K113" s="77" t="n">
        <v>1137</v>
      </c>
      <c r="L113" s="46" t="inlineStr">
        <is>
          <t>Unknown</t>
        </is>
      </c>
      <c r="M113" s="46" t="inlineStr">
        <is>
          <t>Recovered from indexed Redfin/property sources; exact row source not individually re-opened</t>
        </is>
      </c>
      <c r="N113" s="46" t="inlineStr">
        <is>
          <t>https://www.redfin.com/real-estate-agents/gurmeet-singh</t>
        </is>
      </c>
      <c r="O113" s="46" t="inlineStr">
        <is>
          <t>Historical transaction recovered during deep search; verify against MLS before publishing as authoritative.</t>
        </is>
      </c>
      <c r="P113" t="inlineStr">
        <is>
          <t>Recovered</t>
        </is>
      </c>
      <c r="Q113" t="inlineStr">
        <is>
          <t>Unknown</t>
        </is>
      </c>
      <c r="R113" s="70" t="inlineStr">
        <is>
          <t>https://www.google.com/search?tbm=isch&amp;q=%227816+Empingham+Way%22+Sacramento+CA+house</t>
        </is>
      </c>
    </row>
    <row r="114">
      <c r="A114" s="33" t="n">
        <v>113</v>
      </c>
      <c r="B114" s="33" t="inlineStr">
        <is>
          <t>Sold / recovered</t>
        </is>
      </c>
      <c r="C114" s="46" t="inlineStr">
        <is>
          <t>673 Royston #135</t>
        </is>
      </c>
      <c r="D114" s="46" t="inlineStr">
        <is>
          <t>Hayward</t>
        </is>
      </c>
      <c r="E114" s="46" t="inlineStr">
        <is>
          <t>CA</t>
        </is>
      </c>
      <c r="F114" s="46" t="str"/>
      <c r="G114" s="73" t="n">
        <v>290000</v>
      </c>
      <c r="H114" s="74" t="n"/>
      <c r="I114" s="75" t="n">
        <v>1</v>
      </c>
      <c r="J114" s="76" t="n">
        <v>1</v>
      </c>
      <c r="K114" s="77" t="n">
        <v>643</v>
      </c>
      <c r="L114" s="46" t="inlineStr">
        <is>
          <t>Unknown</t>
        </is>
      </c>
      <c r="M114" s="46" t="inlineStr">
        <is>
          <t>Recovered from indexed Redfin/property sources; exact row source not individually re-opened</t>
        </is>
      </c>
      <c r="N114" s="46" t="inlineStr">
        <is>
          <t>https://www.redfin.com/real-estate-agents/gurmeet-singh</t>
        </is>
      </c>
      <c r="O114" s="46" t="inlineStr">
        <is>
          <t>Historical transaction recovered during deep search; verify against MLS before publishing as authoritative.</t>
        </is>
      </c>
      <c r="P114" t="inlineStr">
        <is>
          <t>Recovered</t>
        </is>
      </c>
      <c r="Q114" t="inlineStr">
        <is>
          <t>Unknown</t>
        </is>
      </c>
      <c r="R114" s="70" t="inlineStr">
        <is>
          <t>https://www.google.com/search?tbm=isch&amp;q=%22673+Royston+%23135%22+Hayward+CA+house</t>
        </is>
      </c>
    </row>
    <row r="115">
      <c r="A115" s="33" t="n">
        <v>114</v>
      </c>
      <c r="B115" s="33" t="inlineStr">
        <is>
          <t>Sold / recovered</t>
        </is>
      </c>
      <c r="C115" s="46" t="inlineStr">
        <is>
          <t>6003 Joaquin Murieta Ave Unit D</t>
        </is>
      </c>
      <c r="D115" s="46" t="inlineStr">
        <is>
          <t>Newark</t>
        </is>
      </c>
      <c r="E115" s="46" t="inlineStr">
        <is>
          <t>CA</t>
        </is>
      </c>
      <c r="F115" s="46" t="str"/>
      <c r="G115" s="73" t="n">
        <v>276500</v>
      </c>
      <c r="H115" s="74" t="n"/>
      <c r="I115" s="75" t="n">
        <v>3</v>
      </c>
      <c r="J115" s="76" t="n">
        <v>2.5</v>
      </c>
      <c r="K115" s="77" t="n">
        <v>1408</v>
      </c>
      <c r="L115" s="46" t="inlineStr">
        <is>
          <t>Unknown</t>
        </is>
      </c>
      <c r="M115" s="46" t="inlineStr">
        <is>
          <t>Recovered from indexed Redfin/property sources; exact row source not individually re-opened</t>
        </is>
      </c>
      <c r="N115" s="46" t="inlineStr">
        <is>
          <t>https://www.redfin.com/real-estate-agents/gurmeet-singh</t>
        </is>
      </c>
      <c r="O115" s="46" t="inlineStr">
        <is>
          <t>Historical transaction recovered during deep search; verify against MLS before publishing as authoritative.</t>
        </is>
      </c>
      <c r="P115" t="inlineStr">
        <is>
          <t>Recovered</t>
        </is>
      </c>
      <c r="Q115" t="inlineStr">
        <is>
          <t>Unknown</t>
        </is>
      </c>
      <c r="R115" s="70" t="inlineStr">
        <is>
          <t>https://www.google.com/search?tbm=isch&amp;q=%226003+Joaquin+Murieta+Ave+Unit+D%22+Newark+CA+house</t>
        </is>
      </c>
    </row>
    <row r="116">
      <c r="A116" s="33" t="n">
        <v>115</v>
      </c>
      <c r="B116" s="33" t="inlineStr">
        <is>
          <t>Sold / recovered</t>
        </is>
      </c>
      <c r="C116" s="46" t="inlineStr">
        <is>
          <t>27344 Marigold Ct</t>
        </is>
      </c>
      <c r="D116" s="46" t="inlineStr">
        <is>
          <t>Hayward</t>
        </is>
      </c>
      <c r="E116" s="46" t="inlineStr">
        <is>
          <t>CA</t>
        </is>
      </c>
      <c r="F116" s="46" t="str"/>
      <c r="G116" s="73" t="n">
        <v>275000</v>
      </c>
      <c r="H116" s="74" t="n"/>
      <c r="I116" s="75" t="n">
        <v>3</v>
      </c>
      <c r="J116" s="76" t="n">
        <v>2</v>
      </c>
      <c r="K116" s="77" t="n">
        <v>1220</v>
      </c>
      <c r="L116" s="46" t="inlineStr">
        <is>
          <t>Unknown</t>
        </is>
      </c>
      <c r="M116" s="46" t="inlineStr">
        <is>
          <t>Recovered from indexed Redfin/property sources; exact row source not individually re-opened</t>
        </is>
      </c>
      <c r="N116" s="46" t="inlineStr">
        <is>
          <t>https://www.redfin.com/real-estate-agents/gurmeet-singh</t>
        </is>
      </c>
      <c r="O116" s="46" t="inlineStr">
        <is>
          <t>Historical transaction recovered during deep search; verify against MLS before publishing as authoritative.</t>
        </is>
      </c>
      <c r="P116" t="inlineStr">
        <is>
          <t>Recovered</t>
        </is>
      </c>
      <c r="Q116" t="inlineStr">
        <is>
          <t>Unknown</t>
        </is>
      </c>
      <c r="R116" s="70" t="inlineStr">
        <is>
          <t>https://www.google.com/search?tbm=isch&amp;q=%2227344+Marigold+Ct%22+Hayward+CA+house</t>
        </is>
      </c>
    </row>
    <row r="117">
      <c r="A117" s="33" t="n">
        <v>116</v>
      </c>
      <c r="B117" s="33" t="inlineStr">
        <is>
          <t>Sold</t>
        </is>
      </c>
      <c r="C117" s="46" t="inlineStr">
        <is>
          <t>1151 Sherrie Ct</t>
        </is>
      </c>
      <c r="D117" s="46" t="inlineStr">
        <is>
          <t>Lathrop</t>
        </is>
      </c>
      <c r="E117" s="46" t="inlineStr">
        <is>
          <t>CA</t>
        </is>
      </c>
      <c r="F117" s="46" t="str"/>
      <c r="G117" s="73" t="n">
        <v>255000</v>
      </c>
      <c r="H117" s="74" t="n"/>
      <c r="I117" s="75" t="n">
        <v>3</v>
      </c>
      <c r="J117" s="76" t="n">
        <v>2</v>
      </c>
      <c r="K117" s="77" t="n">
        <v>1147</v>
      </c>
      <c r="L117" s="46" t="inlineStr">
        <is>
          <t>Buyer</t>
        </is>
      </c>
      <c r="M117" s="46" t="inlineStr">
        <is>
          <t>High - Homes.com property page</t>
        </is>
      </c>
      <c r="N117" s="46" t="inlineStr">
        <is>
          <t>https://www.homes.com/property/1151-sherrie-ct-lathrop-ca/q7bygs48cl5vl/</t>
        </is>
      </c>
      <c r="O117" s="46" t="inlineStr">
        <is>
          <t>2017 transaction; exact day not captured.</t>
        </is>
      </c>
      <c r="P117" t="inlineStr">
        <is>
          <t>High</t>
        </is>
      </c>
      <c r="Q117" t="inlineStr">
        <is>
          <t>Buyer</t>
        </is>
      </c>
      <c r="R117" s="70" t="inlineStr">
        <is>
          <t>https://www.google.com/search?tbm=isch&amp;q=%221151+Sherrie+Ct%22+Lathrop+CA+house</t>
        </is>
      </c>
    </row>
    <row r="118">
      <c r="A118" s="33" t="n">
        <v>117</v>
      </c>
      <c r="B118" s="33" t="inlineStr">
        <is>
          <t>Sold / recovered</t>
        </is>
      </c>
      <c r="C118" s="46" t="inlineStr">
        <is>
          <t>27561 Loyola Ave</t>
        </is>
      </c>
      <c r="D118" s="46" t="inlineStr">
        <is>
          <t>Hayward</t>
        </is>
      </c>
      <c r="E118" s="46" t="inlineStr">
        <is>
          <t>CA</t>
        </is>
      </c>
      <c r="F118" s="46" t="str"/>
      <c r="G118" s="73" t="n">
        <v>240000</v>
      </c>
      <c r="H118" s="74" t="n"/>
      <c r="I118" s="75" t="n">
        <v>3</v>
      </c>
      <c r="J118" s="76" t="n">
        <v>2</v>
      </c>
      <c r="K118" s="77" t="n">
        <v>1128</v>
      </c>
      <c r="L118" s="46" t="inlineStr">
        <is>
          <t>Unknown</t>
        </is>
      </c>
      <c r="M118" s="46" t="inlineStr">
        <is>
          <t>Recovered from indexed Redfin/property sources; exact row source not individually re-opened</t>
        </is>
      </c>
      <c r="N118" s="46" t="inlineStr">
        <is>
          <t>https://www.redfin.com/real-estate-agents/gurmeet-singh</t>
        </is>
      </c>
      <c r="O118" s="46" t="inlineStr">
        <is>
          <t>Historical transaction recovered during deep search; verify against MLS before publishing as authoritative.</t>
        </is>
      </c>
      <c r="P118" t="inlineStr">
        <is>
          <t>Recovered</t>
        </is>
      </c>
      <c r="Q118" t="inlineStr">
        <is>
          <t>Unknown</t>
        </is>
      </c>
      <c r="R118" s="70" t="inlineStr">
        <is>
          <t>https://www.google.com/search?tbm=isch&amp;q=%2227561+Loyola+Ave%22+Hayward+CA+house</t>
        </is>
      </c>
    </row>
    <row r="119">
      <c r="A119" s="33" t="n">
        <v>118</v>
      </c>
      <c r="B119" s="33" t="inlineStr">
        <is>
          <t>Sold / recovered</t>
        </is>
      </c>
      <c r="C119" s="46" t="inlineStr">
        <is>
          <t>33911 11th St</t>
        </is>
      </c>
      <c r="D119" s="46" t="inlineStr">
        <is>
          <t>Union City</t>
        </is>
      </c>
      <c r="E119" s="46" t="inlineStr">
        <is>
          <t>CA</t>
        </is>
      </c>
      <c r="F119" s="46" t="str"/>
      <c r="G119" s="73" t="n">
        <v>210000</v>
      </c>
      <c r="H119" s="74" t="n"/>
      <c r="I119" s="75" t="n">
        <v>3</v>
      </c>
      <c r="J119" s="76" t="n">
        <v>2</v>
      </c>
      <c r="K119" s="77" t="n">
        <v>1512</v>
      </c>
      <c r="L119" s="46" t="inlineStr">
        <is>
          <t>Unknown</t>
        </is>
      </c>
      <c r="M119" s="46" t="inlineStr">
        <is>
          <t>Recovered from indexed Redfin/property sources; exact row source not individually re-opened</t>
        </is>
      </c>
      <c r="N119" s="46" t="inlineStr">
        <is>
          <t>https://www.redfin.com/real-estate-agents/gurmeet-singh</t>
        </is>
      </c>
      <c r="O119" s="46" t="inlineStr">
        <is>
          <t>Historical transaction recovered during deep search; verify against MLS before publishing as authoritative.</t>
        </is>
      </c>
      <c r="P119" t="inlineStr">
        <is>
          <t>Recovered</t>
        </is>
      </c>
      <c r="Q119" t="inlineStr">
        <is>
          <t>Unknown</t>
        </is>
      </c>
      <c r="R119" s="70" t="inlineStr">
        <is>
          <t>https://www.google.com/search?tbm=isch&amp;q=%2233911+11th+St%22+Union+City+CA+house</t>
        </is>
      </c>
    </row>
    <row r="120">
      <c r="A120" s="33" t="n">
        <v>119</v>
      </c>
      <c r="B120" s="33" t="inlineStr">
        <is>
          <t>Sold / recovered</t>
        </is>
      </c>
      <c r="C120" s="46" t="inlineStr">
        <is>
          <t>34764 Skylark Dr #4</t>
        </is>
      </c>
      <c r="D120" s="46" t="inlineStr">
        <is>
          <t>Union City</t>
        </is>
      </c>
      <c r="E120" s="46" t="inlineStr">
        <is>
          <t>CA</t>
        </is>
      </c>
      <c r="F120" s="46" t="str"/>
      <c r="G120" s="73" t="n">
        <v>200000</v>
      </c>
      <c r="H120" s="74" t="n"/>
      <c r="I120" s="75" t="n">
        <v>2</v>
      </c>
      <c r="J120" s="76" t="n">
        <v>1</v>
      </c>
      <c r="K120" s="77" t="n">
        <v>798</v>
      </c>
      <c r="L120" s="46" t="inlineStr">
        <is>
          <t>Unknown</t>
        </is>
      </c>
      <c r="M120" s="46" t="inlineStr">
        <is>
          <t>Recovered from indexed Redfin/property sources; exact row source not individually re-opened</t>
        </is>
      </c>
      <c r="N120" s="46" t="inlineStr">
        <is>
          <t>https://www.redfin.com/real-estate-agents/gurmeet-singh</t>
        </is>
      </c>
      <c r="O120" s="46" t="inlineStr">
        <is>
          <t>Historical transaction recovered during deep search; verify against MLS before publishing as authoritative.</t>
        </is>
      </c>
      <c r="P120" t="inlineStr">
        <is>
          <t>Recovered</t>
        </is>
      </c>
      <c r="Q120" t="inlineStr">
        <is>
          <t>Unknown</t>
        </is>
      </c>
      <c r="R120" s="70" t="inlineStr">
        <is>
          <t>https://www.google.com/search?tbm=isch&amp;q=%2234764+Skylark+Dr+%234%22+Union+City+CA+house</t>
        </is>
      </c>
    </row>
    <row r="121">
      <c r="A121" s="33" t="n">
        <v>120</v>
      </c>
      <c r="B121" s="33" t="inlineStr">
        <is>
          <t>Sold / recovered</t>
        </is>
      </c>
      <c r="C121" s="46" t="inlineStr">
        <is>
          <t>1021 Evans Ct</t>
        </is>
      </c>
      <c r="D121" s="46" t="inlineStr">
        <is>
          <t>Hayward</t>
        </is>
      </c>
      <c r="E121" s="46" t="inlineStr">
        <is>
          <t>CA</t>
        </is>
      </c>
      <c r="F121" s="46" t="str"/>
      <c r="G121" s="73" t="n">
        <v>144699</v>
      </c>
      <c r="H121" s="74" t="n"/>
      <c r="I121" s="75" t="n">
        <v>3</v>
      </c>
      <c r="J121" s="76" t="n">
        <v>2.5</v>
      </c>
      <c r="K121" s="77" t="n">
        <v>1219</v>
      </c>
      <c r="L121" s="46" t="inlineStr">
        <is>
          <t>Unknown</t>
        </is>
      </c>
      <c r="M121" s="46" t="inlineStr">
        <is>
          <t>Recovered from indexed Redfin/property sources; exact row source not individually re-opened</t>
        </is>
      </c>
      <c r="N121" s="46" t="inlineStr">
        <is>
          <t>https://www.redfin.com/real-estate-agents/gurmeet-singh</t>
        </is>
      </c>
      <c r="O121" s="46" t="inlineStr">
        <is>
          <t>Historical transaction recovered during deep search; verify against MLS before publishing as authoritative.</t>
        </is>
      </c>
      <c r="P121" t="inlineStr">
        <is>
          <t>Recovered</t>
        </is>
      </c>
      <c r="Q121" t="inlineStr">
        <is>
          <t>Unknown</t>
        </is>
      </c>
      <c r="R121" s="70" t="inlineStr">
        <is>
          <t>https://www.google.com/search?tbm=isch&amp;q=%221021+Evans+Ct%22+Hayward+CA+house</t>
        </is>
      </c>
    </row>
    <row r="122">
      <c r="A122" s="33" t="n">
        <v>121</v>
      </c>
      <c r="B122" s="33" t="inlineStr">
        <is>
          <t>Sold / recovered</t>
        </is>
      </c>
      <c r="C122" s="46" t="inlineStr">
        <is>
          <t>21564 Meekland Ave #6</t>
        </is>
      </c>
      <c r="D122" s="46" t="inlineStr">
        <is>
          <t>Cherryland</t>
        </is>
      </c>
      <c r="E122" s="46" t="inlineStr">
        <is>
          <t>CA</t>
        </is>
      </c>
      <c r="F122" s="46" t="str"/>
      <c r="G122" s="73" t="n">
        <v>130000</v>
      </c>
      <c r="H122" s="74" t="n"/>
      <c r="I122" s="75" t="n">
        <v>2</v>
      </c>
      <c r="J122" s="76" t="n">
        <v>1.5</v>
      </c>
      <c r="K122" s="77" t="n">
        <v>952</v>
      </c>
      <c r="L122" s="46" t="inlineStr">
        <is>
          <t>Unknown</t>
        </is>
      </c>
      <c r="M122" s="46" t="inlineStr">
        <is>
          <t>Recovered from indexed Redfin/property sources; exact row source not individually re-opened</t>
        </is>
      </c>
      <c r="N122" s="46" t="inlineStr">
        <is>
          <t>https://www.redfin.com/real-estate-agents/gurmeet-singh</t>
        </is>
      </c>
      <c r="O122" s="46" t="inlineStr">
        <is>
          <t>Historical transaction recovered during deep search; verify against MLS before publishing as authoritative.</t>
        </is>
      </c>
      <c r="P122" t="inlineStr">
        <is>
          <t>Recovered</t>
        </is>
      </c>
      <c r="Q122" t="inlineStr">
        <is>
          <t>Unknown</t>
        </is>
      </c>
      <c r="R122" s="70" t="inlineStr">
        <is>
          <t>https://www.google.com/search?tbm=isch&amp;q=%2221564+Meekland+Ave+%236%22+Cherryland+CA+house</t>
        </is>
      </c>
    </row>
    <row r="123">
      <c r="A123" s="33" t="n">
        <v>122</v>
      </c>
      <c r="B123" s="33" t="inlineStr">
        <is>
          <t>Sold / recovered</t>
        </is>
      </c>
      <c r="C123" s="46" t="inlineStr">
        <is>
          <t>27505 Tampa Ave #14</t>
        </is>
      </c>
      <c r="D123" s="46" t="inlineStr">
        <is>
          <t>Hayward</t>
        </is>
      </c>
      <c r="E123" s="46" t="inlineStr">
        <is>
          <t>CA</t>
        </is>
      </c>
      <c r="F123" s="46" t="str"/>
      <c r="G123" s="73" t="n">
        <v>91185</v>
      </c>
      <c r="H123" s="74" t="n"/>
      <c r="I123" s="75" t="n">
        <v>3</v>
      </c>
      <c r="J123" s="76" t="n">
        <v>1.5</v>
      </c>
      <c r="K123" s="77" t="n">
        <v>1240</v>
      </c>
      <c r="L123" s="46" t="inlineStr">
        <is>
          <t>Unknown</t>
        </is>
      </c>
      <c r="M123" s="46" t="inlineStr">
        <is>
          <t>Recovered from indexed Redfin/property sources; exact row source not individually re-opened</t>
        </is>
      </c>
      <c r="N123" s="46" t="inlineStr">
        <is>
          <t>https://www.redfin.com/real-estate-agents/gurmeet-singh</t>
        </is>
      </c>
      <c r="O123" s="46" t="inlineStr">
        <is>
          <t>Historical transaction recovered during deep search; verify against MLS before publishing as authoritative.</t>
        </is>
      </c>
      <c r="P123" t="inlineStr">
        <is>
          <t>Recovered</t>
        </is>
      </c>
      <c r="Q123" t="inlineStr">
        <is>
          <t>Unknown</t>
        </is>
      </c>
      <c r="R123" s="70" t="inlineStr">
        <is>
          <t>https://www.google.com/search?tbm=isch&amp;q=%2227505+Tampa+Ave+%2314%22+Hayward+CA+house</t>
        </is>
      </c>
    </row>
    <row r="124">
      <c r="A124" s="33" t="n">
        <v>123</v>
      </c>
      <c r="B124" s="33" t="inlineStr">
        <is>
          <t>Sold</t>
        </is>
      </c>
      <c r="C124" s="46" t="inlineStr">
        <is>
          <t>34848 Starling Dr #2</t>
        </is>
      </c>
      <c r="D124" s="46" t="inlineStr">
        <is>
          <t>Union City</t>
        </is>
      </c>
      <c r="E124" s="46" t="inlineStr">
        <is>
          <t>CA</t>
        </is>
      </c>
      <c r="F124" s="46" t="inlineStr">
        <is>
          <t>94587</t>
        </is>
      </c>
      <c r="G124" s="73" t="n"/>
      <c r="H124" s="74" t="n"/>
      <c r="I124" s="75" t="n"/>
      <c r="J124" s="76" t="n"/>
      <c r="K124" s="77" t="n"/>
      <c r="L124" s="46" t="inlineStr">
        <is>
          <t>Seller / listing</t>
        </is>
      </c>
      <c r="M124" s="46" t="inlineStr">
        <is>
          <t>High - Compass property page</t>
        </is>
      </c>
      <c r="N124" s="46" t="inlineStr">
        <is>
          <t>https://www.compass.com/homedetails/34848-Starling-Dr-Unit-2-Union-City-CA-94587/1PVM2K_pid/</t>
        </is>
      </c>
      <c r="O124" s="46" t="inlineStr">
        <is>
          <t>2013 transaction; price/date not captured.</t>
        </is>
      </c>
      <c r="P124" t="inlineStr">
        <is>
          <t>High</t>
        </is>
      </c>
      <c r="Q124" t="inlineStr">
        <is>
          <t>Seller</t>
        </is>
      </c>
      <c r="R124" s="70" t="inlineStr">
        <is>
          <t>https://www.google.com/search?tbm=isch&amp;q=%2234848+Starling+Dr+%232%22+Union+City+CA+94587+house</t>
        </is>
      </c>
    </row>
  </sheetData>
  <conditionalFormatting sqref="M2:M124">
    <cfRule type="expression" priority="1" dxfId="0">
      <formula>LEFT(M2,4)="High"</formula>
    </cfRule>
    <cfRule type="expression" priority="2" dxfId="1">
      <formula>LEFT(M2,9)="Recovered"</formula>
    </cfRule>
  </conditionalFormatting>
  <conditionalFormatting sqref="B2:B124">
    <cfRule type="expression" priority="3" dxfId="2">
      <formula>B2="Active listing"</formula>
    </cfRule>
  </conditionalFormatting>
  <conditionalFormatting sqref="P2:P124">
    <cfRule type="expression" priority="4" dxfId="0">
      <formula>P2="High"</formula>
    </cfRule>
    <cfRule type="expression" priority="5" dxfId="1">
      <formula>P2="Recovered"</formula>
    </cfRule>
  </conditionalFormatting>
  <dataValidations count="2">
    <dataValidation sqref="B2:B143" showDropDown="0" showInputMessage="0" showErrorMessage="0" allowBlank="0" type="list">
      <formula1>"Active listing,Sold,Sold / recovered"</formula1>
    </dataValidation>
    <dataValidation sqref="L2:L143" showDropDown="0" showInputMessage="0" showErrorMessage="0" allowBlank="0" type="list">
      <formula1>"Listing,Seller / listing,Seller / co-listing,Buyer,Both listing and buyer,Unknown"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style="62" min="1" max="1"/>
    <col width="55" customWidth="1" style="62" min="2" max="2"/>
    <col width="58" customWidth="1" style="62" min="3" max="3"/>
    <col width="58" customWidth="1" style="62" min="4" max="4"/>
  </cols>
  <sheetData>
    <row r="1" ht="15" customHeight="1" s="62">
      <c r="A1" s="58" t="inlineStr">
        <is>
          <t>Source</t>
        </is>
      </c>
      <c r="B1" s="58" t="inlineStr">
        <is>
          <t>URL</t>
        </is>
      </c>
      <c r="C1" s="58" t="inlineStr">
        <is>
          <t>What it contributes</t>
        </is>
      </c>
      <c r="D1" s="58" t="inlineStr">
        <is>
          <t>Caveat</t>
        </is>
      </c>
    </row>
    <row r="2" ht="26.39999961853027" customHeight="1" s="62">
      <c r="A2" s="59" t="inlineStr">
        <is>
          <t>Redfin agent profile</t>
        </is>
      </c>
      <c r="B2" s="59" t="inlineStr">
        <is>
          <t>https://www.redfin.com/real-estate-agents/gurmeet-singh</t>
        </is>
      </c>
      <c r="C2" s="59" t="inlineStr">
        <is>
          <t>Primary agent identity, DRE #01479256, 181 homes closed, sales volume, active listing and visible category totals.</t>
        </is>
      </c>
      <c r="D2" s="59" t="inlineStr">
        <is>
          <t>Dynamic transaction history is not fully exposed in static page output.</t>
        </is>
      </c>
    </row>
    <row r="3" ht="26.39999961853027" customHeight="1" s="62">
      <c r="A3" s="59" t="inlineStr">
        <is>
          <t>Zillow agent profile</t>
        </is>
      </c>
      <c r="B3" s="59" t="inlineStr">
        <is>
          <t>https://www.zillow.com/profile/Gurmeet%20Singh</t>
        </is>
      </c>
      <c r="C3" s="59" t="inlineStr">
        <is>
          <t>Independent profile reports 204 total sales and recent buyer/seller transactions.</t>
        </is>
      </c>
      <c r="D3" s="59" t="inlineStr">
        <is>
          <t>Shows only the most recent 100 sales/100 listings in property list.</t>
        </is>
      </c>
    </row>
    <row r="4" ht="26.39999961853027" customHeight="1" s="62">
      <c r="A4" s="59" t="inlineStr">
        <is>
          <t>Realtor.com agent profile</t>
        </is>
      </c>
      <c r="B4" s="59" t="inlineStr">
        <is>
          <t>https://www.realtor.com/realestateagents/56d64d26b5cc660100bd2576</t>
        </is>
      </c>
      <c r="C4" s="59" t="inlineStr">
        <is>
          <t>Recent 24-month transaction details including exact dates, prices, beds, baths and sqft.</t>
        </is>
      </c>
      <c r="D4" s="59" t="inlineStr">
        <is>
          <t>States it may not display all sold data and omits sold listings older than 24 months.</t>
        </is>
      </c>
    </row>
    <row r="5" ht="15" customHeight="1" s="62">
      <c r="A5" s="59" t="inlineStr">
        <is>
          <t>Homes.com agent profile</t>
        </is>
      </c>
      <c r="B5" s="59" t="inlineStr">
        <is>
          <t>https://www.homes.com/real-estate-agents/gurmeet-singh/lt3ywbd/</t>
        </is>
      </c>
      <c r="C5" s="59" t="inlineStr">
        <is>
          <t>Five-year production totals and several seller/buyer transaction details.</t>
        </is>
      </c>
      <c r="D5" s="59" t="inlineStr">
        <is>
          <t>Five-year view is not full career history.</t>
        </is>
      </c>
    </row>
    <row r="6" ht="15" customHeight="1" s="62">
      <c r="A6" s="59" t="n"/>
      <c r="B6" s="59" t="n"/>
      <c r="C6" s="59" t="n"/>
      <c r="D6" s="59" t="n"/>
    </row>
    <row r="7" ht="15" customHeight="1" s="62">
      <c r="A7" s="58" t="inlineStr">
        <is>
          <t>Research interpretation</t>
        </is>
      </c>
      <c r="B7" s="58" t="inlineStr">
        <is>
          <t>Value</t>
        </is>
      </c>
      <c r="C7" s="58" t="str"/>
      <c r="D7" s="58" t="str"/>
    </row>
    <row r="8" ht="15" customHeight="1" s="62">
      <c r="A8" s="59" t="inlineStr">
        <is>
          <t>Redfin identity</t>
        </is>
      </c>
      <c r="B8" s="59" t="inlineStr">
        <is>
          <t>Gurmeet Singh, License #01479256</t>
        </is>
      </c>
      <c r="C8" s="59" t="str"/>
      <c r="D8" s="59" t="str"/>
    </row>
    <row r="9" ht="15" customHeight="1" s="62">
      <c r="A9" s="59" t="inlineStr">
        <is>
          <t>Redfin totals</t>
        </is>
      </c>
      <c r="B9" s="59" t="inlineStr">
        <is>
          <t>181 total deals; $123M volume; $2.3M highest sale</t>
        </is>
      </c>
      <c r="C9" s="59" t="str"/>
      <c r="D9" s="59" t="str"/>
    </row>
    <row r="10" ht="15" customHeight="1" s="62">
      <c r="A10" s="59" t="inlineStr">
        <is>
          <t>Redfin categories</t>
        </is>
      </c>
      <c r="B10" s="59" t="inlineStr">
        <is>
          <t>51 sold with Gurmeet; 123 bought with Gurmeet; 1 active listing</t>
        </is>
      </c>
      <c r="C10" s="59" t="str"/>
      <c r="D10" s="59" t="str"/>
    </row>
    <row r="11" ht="15" customHeight="1" s="62">
      <c r="A11" s="59" t="inlineStr">
        <is>
          <t>Zillow totals</t>
        </is>
      </c>
      <c r="B11" s="59" t="inlineStr">
        <is>
          <t>204 total sales; 1 active listing shown</t>
        </is>
      </c>
      <c r="C11" s="59" t="str"/>
      <c r="D11" s="59" t="str"/>
    </row>
    <row r="12">
      <c r="A12" s="59" t="inlineStr">
        <is>
          <t>House image links</t>
        </is>
      </c>
      <c r="B12" s="59" t="inlineStr">
        <is>
          <t>Exact-address Google Images search URLs</t>
        </is>
      </c>
      <c r="C12" s="59" t="inlineStr">
        <is>
          <t>Each transaction now has an address-specific image search URL for locating house photos.</t>
        </is>
      </c>
      <c r="D12" s="59" t="inlineStr">
        <is>
          <t>Direct listing-photo CDN URLs are intentionally avoided because they can expire or change.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2026-08-17T02:49:41Z</dcterms:created>
  <dcterms:modified xmlns:dcterms="http://purl.org/dc/terms/" xmlns:xsi="http://www.w3.org/2001/XMLSchema-instance" xsi:type="dcterms:W3CDTF">2026-08-17T02:49:41Z</dcterms:modified>
</cp:coreProperties>
</file>