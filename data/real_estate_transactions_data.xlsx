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0404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EAEEF7"/>
        <bgColor rgb="00EAEEF7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right" vertical="center"/>
    </xf>
    <xf numFmtId="1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right" vertical="center"/>
    </xf>
    <xf numFmtId="165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right" vertical="center"/>
    </xf>
    <xf numFmtId="1" fontId="4" fillId="6" borderId="2" applyAlignment="1" pivotButton="0" quotePrefix="0" xfId="0">
      <alignment horizontal="center" vertical="center"/>
    </xf>
    <xf numFmtId="3" fontId="4" fillId="6" borderId="2" applyAlignment="1" pivotButton="0" quotePrefix="0" xfId="0">
      <alignment horizontal="right" vertical="center"/>
    </xf>
    <xf numFmtId="165" fontId="4" fillId="6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166" fontId="4" fillId="6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/>
    </xf>
    <xf numFmtId="164" fontId="5" fillId="3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center" vertical="center"/>
    </xf>
    <xf numFmtId="3" fontId="5" fillId="3" borderId="3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right" vertical="center"/>
    </xf>
    <xf numFmtId="166" fontId="5" fillId="7" borderId="2" applyAlignment="1" pivotButton="0" quotePrefix="0" xfId="0">
      <alignment horizontal="center" vertical="center"/>
    </xf>
    <xf numFmtId="3" fontId="5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20" customWidth="1" min="3" max="3"/>
    <col width="20" customWidth="1" min="4" max="4"/>
    <col width="20" customWidth="1" min="5" max="5"/>
    <col width="23" customWidth="1" min="6" max="6"/>
    <col width="21" customWidth="1" min="7" max="7"/>
    <col width="17" customWidth="1" min="8" max="8"/>
  </cols>
  <sheetData>
    <row r="1" ht="35" customHeight="1">
      <c r="A1" s="1" t="inlineStr">
        <is>
          <t>Real Estate Transaction Records &amp; Property Metrics</t>
        </is>
      </c>
    </row>
    <row r="2" ht="20" customHeight="1">
      <c r="A2" s="2" t="inlineStr">
        <is>
          <t>Comprehensive Historical Property Closings | Total Transactions: 68</t>
        </is>
      </c>
    </row>
    <row r="3"/>
    <row r="4" ht="26" customHeight="1">
      <c r="A4" s="3" t="inlineStr">
        <is>
          <t>Property Address</t>
        </is>
      </c>
      <c r="B4" s="3" t="inlineStr">
        <is>
          <t>Transaction Type</t>
        </is>
      </c>
      <c r="C4" s="3" t="inlineStr">
        <is>
          <t>Sold Price ($)</t>
        </is>
      </c>
      <c r="D4" s="3" t="inlineStr">
        <is>
          <t>Beds</t>
        </is>
      </c>
      <c r="E4" s="3" t="inlineStr">
        <is>
          <t>Baths</t>
        </is>
      </c>
      <c r="F4" s="3" t="inlineStr">
        <is>
          <t>Living Area (Sq Ft)</t>
        </is>
      </c>
      <c r="G4" s="3" t="inlineStr">
        <is>
          <t>Price / Sq Ft ($)</t>
        </is>
      </c>
      <c r="H4" s="3" t="inlineStr">
        <is>
          <t>Sale Timeline</t>
        </is>
      </c>
    </row>
    <row r="5" ht="20" customHeight="1">
      <c r="A5" s="4" t="inlineStr">
        <is>
          <t>3586 Somerset Ave, Castro Valley, CA 94546</t>
        </is>
      </c>
      <c r="B5" s="5" t="inlineStr">
        <is>
          <t>Buyer</t>
        </is>
      </c>
      <c r="C5" s="6" t="n">
        <v>949000</v>
      </c>
      <c r="D5" s="5" t="n">
        <v>2</v>
      </c>
      <c r="E5" s="7" t="n">
        <v>1</v>
      </c>
      <c r="F5" s="8" t="n">
        <v>1916</v>
      </c>
      <c r="G5" s="6">
        <f>C5/F5</f>
        <v/>
      </c>
      <c r="H5" s="9" t="inlineStr">
        <is>
          <t>2026-05-29</t>
        </is>
      </c>
    </row>
    <row r="6" ht="20" customHeight="1">
      <c r="A6" s="10" t="inlineStr">
        <is>
          <t>39843 Cedar Blvd Unit 219, Newark, CA 94560</t>
        </is>
      </c>
      <c r="B6" s="11" t="inlineStr">
        <is>
          <t>Buyer</t>
        </is>
      </c>
      <c r="C6" s="12" t="n">
        <v>500000</v>
      </c>
      <c r="D6" s="11" t="n">
        <v>2</v>
      </c>
      <c r="E6" s="13" t="n">
        <v>2</v>
      </c>
      <c r="F6" s="14" t="n">
        <v>1071</v>
      </c>
      <c r="G6" s="12">
        <f>C6/F6</f>
        <v/>
      </c>
      <c r="H6" s="15" t="inlineStr">
        <is>
          <t>2026-04-28</t>
        </is>
      </c>
    </row>
    <row r="7" ht="20" customHeight="1">
      <c r="A7" s="4" t="inlineStr">
        <is>
          <t>35795 Cabral Dr, Fremont, CA 94536</t>
        </is>
      </c>
      <c r="B7" s="5" t="inlineStr">
        <is>
          <t>Buyer</t>
        </is>
      </c>
      <c r="C7" s="6" t="n">
        <v>1052000</v>
      </c>
      <c r="D7" s="5" t="n">
        <v>3</v>
      </c>
      <c r="E7" s="7" t="n">
        <v>2</v>
      </c>
      <c r="F7" s="8" t="n">
        <v>1150</v>
      </c>
      <c r="G7" s="6">
        <f>C7/F7</f>
        <v/>
      </c>
      <c r="H7" s="9" t="inlineStr">
        <is>
          <t>2026-04-21</t>
        </is>
      </c>
    </row>
    <row r="8" ht="20" customHeight="1">
      <c r="A8" s="10" t="inlineStr">
        <is>
          <t>14539 Cedar Valley Dr, Lathrop, CA 95330</t>
        </is>
      </c>
      <c r="B8" s="11" t="inlineStr">
        <is>
          <t>Seller</t>
        </is>
      </c>
      <c r="C8" s="12" t="n">
        <v>450000</v>
      </c>
      <c r="D8" s="11" t="n">
        <v>3</v>
      </c>
      <c r="E8" s="13" t="n">
        <v>2</v>
      </c>
      <c r="F8" s="14" t="n">
        <v>1383</v>
      </c>
      <c r="G8" s="12">
        <f>C8/F8</f>
        <v/>
      </c>
      <c r="H8" s="15" t="inlineStr">
        <is>
          <t>2026-02-23</t>
        </is>
      </c>
    </row>
    <row r="9" ht="20" customHeight="1">
      <c r="A9" s="4" t="inlineStr">
        <is>
          <t>1865 Newport Ct, Tracy, CA 95376</t>
        </is>
      </c>
      <c r="B9" s="5" t="inlineStr">
        <is>
          <t>Buyer</t>
        </is>
      </c>
      <c r="C9" s="6" t="n">
        <v>580000</v>
      </c>
      <c r="D9" s="5" t="n">
        <v>4</v>
      </c>
      <c r="E9" s="16" t="n">
        <v>2.5</v>
      </c>
      <c r="F9" s="8" t="n">
        <v>2373</v>
      </c>
      <c r="G9" s="6">
        <f>C9/F9</f>
        <v/>
      </c>
      <c r="H9" s="9" t="inlineStr">
        <is>
          <t>2026-02-18</t>
        </is>
      </c>
    </row>
    <row r="10" ht="20" customHeight="1">
      <c r="A10" s="10" t="inlineStr">
        <is>
          <t>2389 Northington Dr, Tracy, CA 95377</t>
        </is>
      </c>
      <c r="B10" s="11" t="inlineStr">
        <is>
          <t>Both</t>
        </is>
      </c>
      <c r="C10" s="12" t="n">
        <v>890000</v>
      </c>
      <c r="D10" s="11" t="n">
        <v>4</v>
      </c>
      <c r="E10" s="17" t="n">
        <v>3.5</v>
      </c>
      <c r="F10" s="14" t="n">
        <v>3514</v>
      </c>
      <c r="G10" s="12">
        <f>C10/F10</f>
        <v/>
      </c>
      <c r="H10" s="15" t="inlineStr">
        <is>
          <t>2025-12-11</t>
        </is>
      </c>
    </row>
    <row r="11" ht="20" customHeight="1">
      <c r="A11" s="4" t="inlineStr">
        <is>
          <t>1995 Eleanor Loop, Dublin, CA 94568</t>
        </is>
      </c>
      <c r="B11" s="5" t="inlineStr">
        <is>
          <t>Buyer</t>
        </is>
      </c>
      <c r="C11" s="6" t="n">
        <v>2267645</v>
      </c>
      <c r="D11" s="5" t="n">
        <v>4</v>
      </c>
      <c r="E11" s="7" t="n">
        <v>3</v>
      </c>
      <c r="F11" s="8" t="n">
        <v>2743</v>
      </c>
      <c r="G11" s="6">
        <f>C11/F11</f>
        <v/>
      </c>
      <c r="H11" s="9" t="inlineStr">
        <is>
          <t>2025-10-31</t>
        </is>
      </c>
    </row>
    <row r="12" ht="20" customHeight="1">
      <c r="A12" s="10" t="inlineStr">
        <is>
          <t>2274 Peacock Pl APT 3, Union City, CA 94587</t>
        </is>
      </c>
      <c r="B12" s="11" t="inlineStr">
        <is>
          <t>Seller</t>
        </is>
      </c>
      <c r="C12" s="12" t="n">
        <v>486000</v>
      </c>
      <c r="D12" s="11" t="n">
        <v>2</v>
      </c>
      <c r="E12" s="13" t="n">
        <v>1</v>
      </c>
      <c r="F12" s="14" t="n">
        <v>903</v>
      </c>
      <c r="G12" s="12">
        <f>C12/F12</f>
        <v/>
      </c>
      <c r="H12" s="15" t="inlineStr">
        <is>
          <t>2025-09-04</t>
        </is>
      </c>
    </row>
    <row r="13" ht="20" customHeight="1">
      <c r="A13" s="4" t="inlineStr">
        <is>
          <t>3084 Sombrero Cir, San Ramon, CA 94583</t>
        </is>
      </c>
      <c r="B13" s="5" t="inlineStr">
        <is>
          <t>Buyer</t>
        </is>
      </c>
      <c r="C13" s="6" t="n">
        <v>1310000</v>
      </c>
      <c r="D13" s="5" t="n">
        <v>4</v>
      </c>
      <c r="E13" s="7" t="n">
        <v>3</v>
      </c>
      <c r="F13" s="8" t="n">
        <v>1972</v>
      </c>
      <c r="G13" s="6">
        <f>C13/F13</f>
        <v/>
      </c>
      <c r="H13" s="9" t="inlineStr">
        <is>
          <t>2025-08-05</t>
        </is>
      </c>
    </row>
    <row r="14" ht="20" customHeight="1">
      <c r="A14" s="10" t="inlineStr">
        <is>
          <t>4191 Maple Meadows Dr, Rancho Cordova, CA 95742</t>
        </is>
      </c>
      <c r="B14" s="11" t="inlineStr">
        <is>
          <t>Buyer</t>
        </is>
      </c>
      <c r="C14" s="12" t="n">
        <v>770000</v>
      </c>
      <c r="D14" s="11" t="n">
        <v>4</v>
      </c>
      <c r="E14" s="13" t="n">
        <v>3</v>
      </c>
      <c r="F14" s="14" t="n">
        <v>3003</v>
      </c>
      <c r="G14" s="12">
        <f>C14/F14</f>
        <v/>
      </c>
      <c r="H14" s="15" t="inlineStr">
        <is>
          <t>2025-07-18</t>
        </is>
      </c>
    </row>
    <row r="15" ht="20" customHeight="1">
      <c r="A15" s="4" t="inlineStr">
        <is>
          <t>231 Firethorn Ct, San Ramon, CA 94582</t>
        </is>
      </c>
      <c r="B15" s="5" t="inlineStr">
        <is>
          <t>Buyer</t>
        </is>
      </c>
      <c r="C15" s="6" t="n">
        <v>1650000</v>
      </c>
      <c r="D15" s="5" t="n">
        <v>4</v>
      </c>
      <c r="E15" s="7" t="n">
        <v>3</v>
      </c>
      <c r="F15" s="8" t="n">
        <v>2201</v>
      </c>
      <c r="G15" s="6">
        <f>C15/F15</f>
        <v/>
      </c>
      <c r="H15" s="9" t="inlineStr">
        <is>
          <t>2025-07-01</t>
        </is>
      </c>
    </row>
    <row r="16" ht="20" customHeight="1">
      <c r="A16" s="10" t="inlineStr">
        <is>
          <t>2304 Morrison Ct, Patterson, CA 95363</t>
        </is>
      </c>
      <c r="B16" s="11" t="inlineStr">
        <is>
          <t>Buyer</t>
        </is>
      </c>
      <c r="C16" s="12" t="n">
        <v>492900</v>
      </c>
      <c r="D16" s="11" t="n">
        <v>3</v>
      </c>
      <c r="E16" s="13" t="n">
        <v>2</v>
      </c>
      <c r="F16" s="14" t="n">
        <v>1602</v>
      </c>
      <c r="G16" s="12">
        <f>C16/F16</f>
        <v/>
      </c>
      <c r="H16" s="15" t="inlineStr">
        <is>
          <t>2025-02-28</t>
        </is>
      </c>
    </row>
    <row r="17" ht="20" customHeight="1">
      <c r="A17" s="4" t="inlineStr">
        <is>
          <t>2304 Morrison Ranch Ct, Patterson, CA 95363</t>
        </is>
      </c>
      <c r="B17" s="5" t="inlineStr">
        <is>
          <t>Buyer</t>
        </is>
      </c>
      <c r="C17" s="6" t="n">
        <v>493000</v>
      </c>
      <c r="D17" s="5" t="n">
        <v>3</v>
      </c>
      <c r="E17" s="7" t="n">
        <v>2</v>
      </c>
      <c r="F17" s="8" t="n">
        <v>1602</v>
      </c>
      <c r="G17" s="6">
        <f>C17/F17</f>
        <v/>
      </c>
      <c r="H17" s="9" t="inlineStr">
        <is>
          <t>2025-02-28</t>
        </is>
      </c>
    </row>
    <row r="18" ht="20" customHeight="1">
      <c r="A18" s="10" t="inlineStr">
        <is>
          <t>2313 Blossom Ranch Rd, Patterson, CA 95363</t>
        </is>
      </c>
      <c r="B18" s="11" t="inlineStr">
        <is>
          <t>Buyer</t>
        </is>
      </c>
      <c r="C18" s="12" t="n">
        <v>542000</v>
      </c>
      <c r="D18" s="11" t="n">
        <v>4</v>
      </c>
      <c r="E18" s="13" t="n">
        <v>3</v>
      </c>
      <c r="F18" s="14" t="n">
        <v>2096</v>
      </c>
      <c r="G18" s="12">
        <f>C18/F18</f>
        <v/>
      </c>
      <c r="H18" s="15" t="inlineStr">
        <is>
          <t>2025-01-10</t>
        </is>
      </c>
    </row>
    <row r="19" ht="20" customHeight="1">
      <c r="A19" s="4" t="inlineStr">
        <is>
          <t>2711 Wylin Blvd, Lathrop, CA 95330</t>
        </is>
      </c>
      <c r="B19" s="5" t="inlineStr">
        <is>
          <t>Seller</t>
        </is>
      </c>
      <c r="C19" s="6" t="n">
        <v>1100000</v>
      </c>
      <c r="D19" s="5" t="n">
        <v>4</v>
      </c>
      <c r="E19" s="16" t="n">
        <v>3.5</v>
      </c>
      <c r="F19" s="8" t="n">
        <v>3119</v>
      </c>
      <c r="G19" s="6">
        <f>C19/F19</f>
        <v/>
      </c>
      <c r="H19" s="9" t="inlineStr">
        <is>
          <t>2024-09-30</t>
        </is>
      </c>
    </row>
    <row r="20" ht="20" customHeight="1">
      <c r="A20" s="10" t="inlineStr">
        <is>
          <t>27566 Barcelona Ave, Hayward, CA 94545</t>
        </is>
      </c>
      <c r="B20" s="11" t="inlineStr">
        <is>
          <t>Seller</t>
        </is>
      </c>
      <c r="C20" s="12" t="n">
        <v>855000</v>
      </c>
      <c r="D20" s="11" t="n">
        <v>3</v>
      </c>
      <c r="E20" s="13" t="n">
        <v>2</v>
      </c>
      <c r="F20" s="14" t="n">
        <v>1192</v>
      </c>
      <c r="G20" s="12">
        <f>C20/F20</f>
        <v/>
      </c>
      <c r="H20" s="15" t="inlineStr">
        <is>
          <t>2024-09-13</t>
        </is>
      </c>
    </row>
    <row r="21" ht="20" customHeight="1">
      <c r="A21" s="4" t="inlineStr">
        <is>
          <t>1654 Kasnak Dr, Manteca, CA 95337</t>
        </is>
      </c>
      <c r="B21" s="5" t="inlineStr">
        <is>
          <t>Buyer</t>
        </is>
      </c>
      <c r="C21" s="6" t="n">
        <v>736500</v>
      </c>
      <c r="D21" s="5" t="n">
        <v>4</v>
      </c>
      <c r="E21" s="7" t="n">
        <v>3</v>
      </c>
      <c r="F21" s="8" t="n">
        <v>2746</v>
      </c>
      <c r="G21" s="6">
        <f>C21/F21</f>
        <v/>
      </c>
      <c r="H21" s="9" t="inlineStr">
        <is>
          <t>2024-09-03</t>
        </is>
      </c>
    </row>
    <row r="22" ht="20" customHeight="1">
      <c r="A22" s="10" t="inlineStr">
        <is>
          <t>27704 Calaroga Ave, Hayward, CA 94545</t>
        </is>
      </c>
      <c r="B22" s="11" t="inlineStr">
        <is>
          <t>Seller</t>
        </is>
      </c>
      <c r="C22" s="12" t="n">
        <v>880000</v>
      </c>
      <c r="D22" s="11" t="n">
        <v>3</v>
      </c>
      <c r="E22" s="13" t="n">
        <v>2</v>
      </c>
      <c r="F22" s="14" t="n">
        <v>1220</v>
      </c>
      <c r="G22" s="12">
        <f>C22/F22</f>
        <v/>
      </c>
      <c r="H22" s="15" t="inlineStr">
        <is>
          <t>2024-08-22</t>
        </is>
      </c>
    </row>
    <row r="23" ht="20" customHeight="1">
      <c r="A23" s="4" t="inlineStr">
        <is>
          <t>15563 Ronconi Dr, San Lorenzo, CA 94580</t>
        </is>
      </c>
      <c r="B23" s="5" t="inlineStr">
        <is>
          <t>Seller</t>
        </is>
      </c>
      <c r="C23" s="6" t="n">
        <v>906000</v>
      </c>
      <c r="D23" s="5" t="n">
        <v>3</v>
      </c>
      <c r="E23" s="7" t="n">
        <v>2</v>
      </c>
      <c r="F23" s="8" t="n">
        <v>1273</v>
      </c>
      <c r="G23" s="6">
        <f>C23/F23</f>
        <v/>
      </c>
      <c r="H23" s="9" t="inlineStr">
        <is>
          <t>2024-06-25</t>
        </is>
      </c>
    </row>
    <row r="24" ht="20" customHeight="1">
      <c r="A24" s="10" t="inlineStr">
        <is>
          <t>32616 Brenda Way APT 4, Union City, CA 94587</t>
        </is>
      </c>
      <c r="B24" s="11" t="inlineStr">
        <is>
          <t>Seller</t>
        </is>
      </c>
      <c r="C24" s="12" t="n">
        <v>535000</v>
      </c>
      <c r="D24" s="11" t="n">
        <v>2</v>
      </c>
      <c r="E24" s="17" t="n">
        <v>1.5</v>
      </c>
      <c r="F24" s="14" t="n">
        <v>988</v>
      </c>
      <c r="G24" s="12">
        <f>C24/F24</f>
        <v/>
      </c>
      <c r="H24" s="15" t="inlineStr">
        <is>
          <t>2024-04-04</t>
        </is>
      </c>
    </row>
    <row r="25" ht="20" customHeight="1">
      <c r="A25" s="4" t="inlineStr">
        <is>
          <t>33127 Lake Superior Pl, Fremont, CA 94555</t>
        </is>
      </c>
      <c r="B25" s="5" t="inlineStr">
        <is>
          <t>Buyer</t>
        </is>
      </c>
      <c r="C25" s="6" t="n">
        <v>1055000</v>
      </c>
      <c r="D25" s="5" t="n">
        <v>3</v>
      </c>
      <c r="E25" s="7" t="n">
        <v>2</v>
      </c>
      <c r="F25" s="8" t="n">
        <v>1179</v>
      </c>
      <c r="G25" s="6">
        <f>C25/F25</f>
        <v/>
      </c>
      <c r="H25" s="9" t="inlineStr">
        <is>
          <t>2024-03-04</t>
        </is>
      </c>
    </row>
    <row r="26" ht="20" customHeight="1">
      <c r="A26" s="10" t="inlineStr">
        <is>
          <t>478 Ribier Ct, Manteca, CA 95336</t>
        </is>
      </c>
      <c r="B26" s="11" t="inlineStr">
        <is>
          <t>Buyer</t>
        </is>
      </c>
      <c r="C26" s="12" t="n">
        <v>511500</v>
      </c>
      <c r="D26" s="11" t="n">
        <v>3</v>
      </c>
      <c r="E26" s="13" t="n">
        <v>2</v>
      </c>
      <c r="F26" s="14" t="n">
        <v>1489</v>
      </c>
      <c r="G26" s="12">
        <f>C26/F26</f>
        <v/>
      </c>
      <c r="H26" s="15" t="inlineStr">
        <is>
          <t>2024-01-23</t>
        </is>
      </c>
    </row>
    <row r="27" ht="20" customHeight="1">
      <c r="A27" s="4" t="inlineStr">
        <is>
          <t>252 Appian Way, Union City, CA 94587</t>
        </is>
      </c>
      <c r="B27" s="5" t="inlineStr">
        <is>
          <t>Buyer</t>
        </is>
      </c>
      <c r="C27" s="6" t="n">
        <v>1070000</v>
      </c>
      <c r="D27" s="5" t="n">
        <v>3</v>
      </c>
      <c r="E27" s="16" t="n">
        <v>2.5</v>
      </c>
      <c r="F27" s="8" t="n">
        <v>1452</v>
      </c>
      <c r="G27" s="6">
        <f>C27/F27</f>
        <v/>
      </c>
      <c r="H27" s="9" t="inlineStr">
        <is>
          <t>2023-11-02</t>
        </is>
      </c>
    </row>
    <row r="28" ht="20" customHeight="1">
      <c r="A28" s="10" t="inlineStr">
        <is>
          <t>2046 Expedition Way, Sacramento, CA 95832</t>
        </is>
      </c>
      <c r="B28" s="11" t="inlineStr">
        <is>
          <t>Buyer</t>
        </is>
      </c>
      <c r="C28" s="12" t="n">
        <v>490000</v>
      </c>
      <c r="D28" s="11" t="n">
        <v>3</v>
      </c>
      <c r="E28" s="17" t="n">
        <v>2.5</v>
      </c>
      <c r="F28" s="14" t="n">
        <v>1514</v>
      </c>
      <c r="G28" s="12">
        <f>C28/F28</f>
        <v/>
      </c>
      <c r="H28" s="15" t="inlineStr">
        <is>
          <t>2023-09-29</t>
        </is>
      </c>
    </row>
    <row r="29" ht="20" customHeight="1">
      <c r="A29" s="4" t="inlineStr">
        <is>
          <t>5061 Admiral Cmn, Fremont, CA 94536</t>
        </is>
      </c>
      <c r="B29" s="5" t="inlineStr">
        <is>
          <t>Buyer</t>
        </is>
      </c>
      <c r="C29" s="6" t="n">
        <v>1408387</v>
      </c>
      <c r="D29" s="5" t="n">
        <v>3</v>
      </c>
      <c r="E29" s="16" t="n">
        <v>2.5</v>
      </c>
      <c r="F29" s="8" t="n">
        <v>1757</v>
      </c>
      <c r="G29" s="6">
        <f>C29/F29</f>
        <v/>
      </c>
      <c r="H29" s="9" t="inlineStr">
        <is>
          <t>2023-08-30</t>
        </is>
      </c>
    </row>
    <row r="30" ht="20" customHeight="1">
      <c r="A30" s="10" t="inlineStr">
        <is>
          <t>4718 Bonsai Ave, Tracy, CA 95377</t>
        </is>
      </c>
      <c r="B30" s="11" t="inlineStr">
        <is>
          <t>Buyer</t>
        </is>
      </c>
      <c r="C30" s="12" t="n">
        <v>729500</v>
      </c>
      <c r="D30" s="11" t="n">
        <v>4</v>
      </c>
      <c r="E30" s="17" t="n">
        <v>2.5</v>
      </c>
      <c r="F30" s="14" t="n">
        <v>2050</v>
      </c>
      <c r="G30" s="12">
        <f>C30/F30</f>
        <v/>
      </c>
      <c r="H30" s="15" t="inlineStr">
        <is>
          <t>2023-07-20</t>
        </is>
      </c>
    </row>
    <row r="31" ht="20" customHeight="1">
      <c r="A31" s="4" t="inlineStr">
        <is>
          <t>2650 Oliver Dr, Hayward, CA 94545</t>
        </is>
      </c>
      <c r="B31" s="5" t="inlineStr">
        <is>
          <t>Seller</t>
        </is>
      </c>
      <c r="C31" s="6" t="n">
        <v>680000</v>
      </c>
      <c r="D31" s="5" t="n">
        <v>3</v>
      </c>
      <c r="E31" s="16" t="n">
        <v>1.5</v>
      </c>
      <c r="F31" s="8" t="n">
        <v>1188</v>
      </c>
      <c r="G31" s="6">
        <f>C31/F31</f>
        <v/>
      </c>
      <c r="H31" s="9" t="inlineStr">
        <is>
          <t>2023-07-05</t>
        </is>
      </c>
    </row>
    <row r="32" ht="20" customHeight="1">
      <c r="A32" s="10" t="inlineStr">
        <is>
          <t>929 Pendleton Ct, Oakley, CA 94561</t>
        </is>
      </c>
      <c r="B32" s="11" t="inlineStr">
        <is>
          <t>Buyer</t>
        </is>
      </c>
      <c r="C32" s="12" t="n">
        <v>725000</v>
      </c>
      <c r="D32" s="11" t="n">
        <v>4</v>
      </c>
      <c r="E32" s="13" t="n">
        <v>3</v>
      </c>
      <c r="F32" s="14" t="n">
        <v>2176</v>
      </c>
      <c r="G32" s="12">
        <f>C32/F32</f>
        <v/>
      </c>
      <c r="H32" s="15" t="inlineStr">
        <is>
          <t>2023-04-19</t>
        </is>
      </c>
    </row>
    <row r="33" ht="20" customHeight="1">
      <c r="A33" s="4" t="inlineStr">
        <is>
          <t>1501 S Wolfe Rd, Sunnyvale, CA 94087</t>
        </is>
      </c>
      <c r="B33" s="5" t="inlineStr">
        <is>
          <t>Buyer</t>
        </is>
      </c>
      <c r="C33" s="6" t="n">
        <v>2205000</v>
      </c>
      <c r="D33" s="5" t="n">
        <v>4</v>
      </c>
      <c r="E33" s="16" t="n">
        <v>3.5</v>
      </c>
      <c r="F33" s="8" t="n">
        <v>2233</v>
      </c>
      <c r="G33" s="6">
        <f>C33/F33</f>
        <v/>
      </c>
      <c r="H33" s="9" t="inlineStr">
        <is>
          <t>2023-02-22</t>
        </is>
      </c>
    </row>
    <row r="34" ht="20" customHeight="1">
      <c r="A34" s="10" t="inlineStr">
        <is>
          <t>3184 Durant Ave, San Jose, CA 95111</t>
        </is>
      </c>
      <c r="B34" s="11" t="inlineStr">
        <is>
          <t>Buyer</t>
        </is>
      </c>
      <c r="C34" s="12" t="n">
        <v>1000000</v>
      </c>
      <c r="D34" s="11" t="n">
        <v>3</v>
      </c>
      <c r="E34" s="13" t="n">
        <v>2</v>
      </c>
      <c r="F34" s="14" t="n">
        <v>1241</v>
      </c>
      <c r="G34" s="12">
        <f>C34/F34</f>
        <v/>
      </c>
      <c r="H34" s="15" t="inlineStr">
        <is>
          <t>2023-01-25</t>
        </is>
      </c>
    </row>
    <row r="35" ht="20" customHeight="1">
      <c r="A35" s="4" t="inlineStr">
        <is>
          <t>1364 Maehl Dr, Manteca, CA 95337</t>
        </is>
      </c>
      <c r="B35" s="5" t="inlineStr">
        <is>
          <t>Buyer</t>
        </is>
      </c>
      <c r="C35" s="6" t="n">
        <v>675000</v>
      </c>
      <c r="D35" s="5" t="n">
        <v>4</v>
      </c>
      <c r="E35" s="7" t="n">
        <v>3</v>
      </c>
      <c r="F35" s="8" t="n">
        <v>2674</v>
      </c>
      <c r="G35" s="6">
        <f>C35/F35</f>
        <v/>
      </c>
      <c r="H35" s="9" t="inlineStr">
        <is>
          <t>2022-12-20</t>
        </is>
      </c>
    </row>
    <row r="36" ht="20" customHeight="1">
      <c r="A36" s="10" t="inlineStr">
        <is>
          <t>31200 Fredi St, Union City, CA 94587</t>
        </is>
      </c>
      <c r="B36" s="11" t="inlineStr">
        <is>
          <t>Buyer</t>
        </is>
      </c>
      <c r="C36" s="12" t="n">
        <v>810000</v>
      </c>
      <c r="D36" s="11" t="n">
        <v>3</v>
      </c>
      <c r="E36" s="17" t="n">
        <v>1.5</v>
      </c>
      <c r="F36" s="14" t="n">
        <v>1170</v>
      </c>
      <c r="G36" s="12">
        <f>C36/F36</f>
        <v/>
      </c>
      <c r="H36" s="15" t="inlineStr">
        <is>
          <t>2022-11-14</t>
        </is>
      </c>
    </row>
    <row r="37" ht="20" customHeight="1">
      <c r="A37" s="4" t="inlineStr">
        <is>
          <t>196 Benbow Ave, San Jose, CA 95123</t>
        </is>
      </c>
      <c r="B37" s="5" t="inlineStr">
        <is>
          <t>Buyer</t>
        </is>
      </c>
      <c r="C37" s="6" t="n">
        <v>1362500</v>
      </c>
      <c r="D37" s="5" t="n">
        <v>3</v>
      </c>
      <c r="E37" s="16" t="n">
        <v>2.5</v>
      </c>
      <c r="F37" s="8" t="n">
        <v>1607</v>
      </c>
      <c r="G37" s="6">
        <f>C37/F37</f>
        <v/>
      </c>
      <c r="H37" s="9" t="inlineStr">
        <is>
          <t>2022-09-30</t>
        </is>
      </c>
    </row>
    <row r="38" ht="20" customHeight="1">
      <c r="A38" s="10" t="inlineStr">
        <is>
          <t>10916 Monomoy Way, Stockton, CA 95219</t>
        </is>
      </c>
      <c r="B38" s="11" t="inlineStr">
        <is>
          <t>Buyer</t>
        </is>
      </c>
      <c r="C38" s="12" t="n">
        <v>652000</v>
      </c>
      <c r="D38" s="11" t="n">
        <v>4</v>
      </c>
      <c r="E38" s="17" t="n">
        <v>2.5</v>
      </c>
      <c r="F38" s="14" t="n">
        <v>2367</v>
      </c>
      <c r="G38" s="12">
        <f>C38/F38</f>
        <v/>
      </c>
      <c r="H38" s="15" t="inlineStr">
        <is>
          <t>2022-08-30</t>
        </is>
      </c>
    </row>
    <row r="39" ht="20" customHeight="1">
      <c r="A39" s="4" t="inlineStr">
        <is>
          <t>29215 States St, Hayward, CA 94544</t>
        </is>
      </c>
      <c r="B39" s="5" t="inlineStr">
        <is>
          <t>Buyer</t>
        </is>
      </c>
      <c r="C39" s="6" t="n">
        <v>1300000</v>
      </c>
      <c r="D39" s="5" t="n">
        <v>4</v>
      </c>
      <c r="E39" s="7" t="n">
        <v>3</v>
      </c>
      <c r="F39" s="8" t="n">
        <v>2130</v>
      </c>
      <c r="G39" s="6">
        <f>C39/F39</f>
        <v/>
      </c>
      <c r="H39" s="9" t="inlineStr">
        <is>
          <t>2022-06-23</t>
        </is>
      </c>
    </row>
    <row r="40" ht="20" customHeight="1">
      <c r="A40" s="10" t="inlineStr">
        <is>
          <t>3495 Sugarcreek Dr, San Jose, CA 95121</t>
        </is>
      </c>
      <c r="B40" s="11" t="inlineStr">
        <is>
          <t>Buyer</t>
        </is>
      </c>
      <c r="C40" s="12" t="n">
        <v>826000</v>
      </c>
      <c r="D40" s="11" t="n">
        <v>2</v>
      </c>
      <c r="E40" s="13" t="n">
        <v>2</v>
      </c>
      <c r="F40" s="14" t="n">
        <v>1027</v>
      </c>
      <c r="G40" s="12">
        <f>C40/F40</f>
        <v/>
      </c>
      <c r="H40" s="15" t="inlineStr">
        <is>
          <t>2022-06-10</t>
        </is>
      </c>
    </row>
    <row r="41" ht="20" customHeight="1">
      <c r="A41" s="4" t="inlineStr">
        <is>
          <t>1875 Medford Ave, Manteca, CA 95337</t>
        </is>
      </c>
      <c r="B41" s="5" t="inlineStr">
        <is>
          <t>Seller</t>
        </is>
      </c>
      <c r="C41" s="6" t="n">
        <v>865000</v>
      </c>
      <c r="D41" s="5" t="n">
        <v>5</v>
      </c>
      <c r="E41" s="7" t="n">
        <v>3</v>
      </c>
      <c r="F41" s="8" t="n">
        <v>2839</v>
      </c>
      <c r="G41" s="6">
        <f>C41/F41</f>
        <v/>
      </c>
      <c r="H41" s="9" t="inlineStr">
        <is>
          <t>2022-06-09</t>
        </is>
      </c>
    </row>
    <row r="42" ht="20" customHeight="1">
      <c r="A42" s="10" t="inlineStr">
        <is>
          <t>806 Colby Dr, Davis, CA 95616</t>
        </is>
      </c>
      <c r="B42" s="11" t="inlineStr">
        <is>
          <t>Buyer</t>
        </is>
      </c>
      <c r="C42" s="12" t="n">
        <v>850000</v>
      </c>
      <c r="D42" s="11" t="n">
        <v>4</v>
      </c>
      <c r="E42" s="13" t="n">
        <v>2</v>
      </c>
      <c r="F42" s="14" t="n">
        <v>1707</v>
      </c>
      <c r="G42" s="12">
        <f>C42/F42</f>
        <v/>
      </c>
      <c r="H42" s="15" t="inlineStr">
        <is>
          <t>2022-05-20</t>
        </is>
      </c>
    </row>
    <row r="43" ht="20" customHeight="1">
      <c r="A43" s="4" t="inlineStr">
        <is>
          <t>3333 Howard Cmn, Fremont, CA 94536</t>
        </is>
      </c>
      <c r="B43" s="5" t="inlineStr">
        <is>
          <t>Buyer</t>
        </is>
      </c>
      <c r="C43" s="6" t="n">
        <v>750000</v>
      </c>
      <c r="D43" s="5" t="n">
        <v>2</v>
      </c>
      <c r="E43" s="7" t="n">
        <v>2</v>
      </c>
      <c r="F43" s="8" t="n">
        <v>1024</v>
      </c>
      <c r="G43" s="6">
        <f>C43/F43</f>
        <v/>
      </c>
      <c r="H43" s="9" t="inlineStr">
        <is>
          <t>2022-05-17</t>
        </is>
      </c>
    </row>
    <row r="44" ht="20" customHeight="1">
      <c r="A44" s="10" t="inlineStr">
        <is>
          <t>37256 Saint Mary St, Newark, CA 94560</t>
        </is>
      </c>
      <c r="B44" s="11" t="inlineStr">
        <is>
          <t>Both</t>
        </is>
      </c>
      <c r="C44" s="12" t="n">
        <v>1246000</v>
      </c>
      <c r="D44" s="11" t="n">
        <v>3</v>
      </c>
      <c r="E44" s="13" t="n">
        <v>2</v>
      </c>
      <c r="F44" s="14" t="n">
        <v>1120</v>
      </c>
      <c r="G44" s="12">
        <f>C44/F44</f>
        <v/>
      </c>
      <c r="H44" s="15" t="inlineStr">
        <is>
          <t>2022-03-31</t>
        </is>
      </c>
    </row>
    <row r="45" ht="20" customHeight="1">
      <c r="A45" s="4" t="inlineStr">
        <is>
          <t>3477 Fawn Dr, San Jose, CA 95124</t>
        </is>
      </c>
      <c r="B45" s="5" t="inlineStr">
        <is>
          <t>Buyer</t>
        </is>
      </c>
      <c r="C45" s="6" t="n">
        <v>1875000</v>
      </c>
      <c r="D45" s="5" t="n">
        <v>4</v>
      </c>
      <c r="E45" s="7" t="n">
        <v>2</v>
      </c>
      <c r="F45" s="8" t="n">
        <v>1822</v>
      </c>
      <c r="G45" s="6">
        <f>C45/F45</f>
        <v/>
      </c>
      <c r="H45" s="9" t="inlineStr">
        <is>
          <t>2022-03-23</t>
        </is>
      </c>
    </row>
    <row r="46" ht="20" customHeight="1">
      <c r="A46" s="10" t="inlineStr">
        <is>
          <t>4427 Callecita Ct, Union City, CA 94587</t>
        </is>
      </c>
      <c r="B46" s="11" t="inlineStr">
        <is>
          <t>Buyer</t>
        </is>
      </c>
      <c r="C46" s="12" t="n">
        <v>600000</v>
      </c>
      <c r="D46" s="11" t="n">
        <v>2</v>
      </c>
      <c r="E46" s="17" t="n">
        <v>1.5</v>
      </c>
      <c r="F46" s="14" t="n">
        <v>988</v>
      </c>
      <c r="G46" s="12">
        <f>C46/F46</f>
        <v/>
      </c>
      <c r="H46" s="15" t="inlineStr">
        <is>
          <t>2022-03-16</t>
        </is>
      </c>
    </row>
    <row r="47" ht="20" customHeight="1">
      <c r="A47" s="4" t="inlineStr">
        <is>
          <t>8508 Hermitage Way, Sacramento, CA 95823</t>
        </is>
      </c>
      <c r="B47" s="5" t="inlineStr">
        <is>
          <t>Buyer</t>
        </is>
      </c>
      <c r="C47" s="6" t="n">
        <v>411000</v>
      </c>
      <c r="D47" s="5" t="n">
        <v>3</v>
      </c>
      <c r="E47" s="7" t="n">
        <v>2</v>
      </c>
      <c r="F47" s="8" t="n">
        <v>1228</v>
      </c>
      <c r="G47" s="6">
        <f>C47/F47</f>
        <v/>
      </c>
      <c r="H47" s="9" t="inlineStr">
        <is>
          <t>2022-03-03</t>
        </is>
      </c>
    </row>
    <row r="48" ht="20" customHeight="1">
      <c r="A48" s="10" t="inlineStr">
        <is>
          <t>2060 Seville Dr, Tracy, CA 95377</t>
        </is>
      </c>
      <c r="B48" s="11" t="inlineStr">
        <is>
          <t>Seller</t>
        </is>
      </c>
      <c r="C48" s="12" t="n">
        <v>813000</v>
      </c>
      <c r="D48" s="11" t="n">
        <v>4</v>
      </c>
      <c r="E48" s="13" t="n">
        <v>3</v>
      </c>
      <c r="F48" s="14" t="n">
        <v>2398</v>
      </c>
      <c r="G48" s="12">
        <f>C48/F48</f>
        <v/>
      </c>
      <c r="H48" s="15" t="inlineStr">
        <is>
          <t>2022-02-23</t>
        </is>
      </c>
    </row>
    <row r="49" ht="20" customHeight="1">
      <c r="A49" s="4" t="inlineStr">
        <is>
          <t>1520 Locust Dr, Tracy, CA 95376</t>
        </is>
      </c>
      <c r="B49" s="5" t="inlineStr">
        <is>
          <t>Buyer</t>
        </is>
      </c>
      <c r="C49" s="6" t="n">
        <v>798000</v>
      </c>
      <c r="D49" s="5" t="n">
        <v>4</v>
      </c>
      <c r="E49" s="16" t="n">
        <v>2.5</v>
      </c>
      <c r="F49" s="8" t="n">
        <v>2752</v>
      </c>
      <c r="G49" s="6">
        <f>C49/F49</f>
        <v/>
      </c>
      <c r="H49" s="9" t="inlineStr">
        <is>
          <t>2022-02-21</t>
        </is>
      </c>
    </row>
    <row r="50" ht="20" customHeight="1">
      <c r="A50" s="10" t="inlineStr">
        <is>
          <t>689 Los Alamos Ave, Livermore, CA 94550</t>
        </is>
      </c>
      <c r="B50" s="11" t="inlineStr">
        <is>
          <t>Buyer</t>
        </is>
      </c>
      <c r="C50" s="12" t="n">
        <v>1160000</v>
      </c>
      <c r="D50" s="11" t="n">
        <v>3</v>
      </c>
      <c r="E50" s="13" t="n">
        <v>2</v>
      </c>
      <c r="F50" s="14" t="n">
        <v>1180</v>
      </c>
      <c r="G50" s="12">
        <f>C50/F50</f>
        <v/>
      </c>
      <c r="H50" s="15" t="inlineStr">
        <is>
          <t>2022-01-12</t>
        </is>
      </c>
    </row>
    <row r="51" ht="20" customHeight="1">
      <c r="A51" s="4" t="inlineStr">
        <is>
          <t>6059 Golden Vista Dr, San Jose, CA 95123</t>
        </is>
      </c>
      <c r="B51" s="5" t="inlineStr">
        <is>
          <t>Buyer</t>
        </is>
      </c>
      <c r="C51" s="6" t="n">
        <v>1337000</v>
      </c>
      <c r="D51" s="5" t="n">
        <v>3</v>
      </c>
      <c r="E51" s="7" t="n">
        <v>2</v>
      </c>
      <c r="F51" s="8" t="n">
        <v>1263</v>
      </c>
      <c r="G51" s="6">
        <f>C51/F51</f>
        <v/>
      </c>
      <c r="H51" s="9" t="inlineStr">
        <is>
          <t>2021-11-15</t>
        </is>
      </c>
    </row>
    <row r="52" ht="20" customHeight="1">
      <c r="A52" s="10" t="inlineStr">
        <is>
          <t>24623 Pontiac St, Hayward, CA 94544</t>
        </is>
      </c>
      <c r="B52" s="11" t="inlineStr">
        <is>
          <t>Buyer</t>
        </is>
      </c>
      <c r="C52" s="12" t="n">
        <v>703000</v>
      </c>
      <c r="D52" s="11" t="n">
        <v>3</v>
      </c>
      <c r="E52" s="17" t="n">
        <v>1.5</v>
      </c>
      <c r="F52" s="14" t="n">
        <v>1024</v>
      </c>
      <c r="G52" s="12">
        <f>C52/F52</f>
        <v/>
      </c>
      <c r="H52" s="15" t="inlineStr">
        <is>
          <t>2021-11-10</t>
        </is>
      </c>
    </row>
    <row r="53" ht="20" customHeight="1">
      <c r="A53" s="4" t="inlineStr">
        <is>
          <t>3480 Briar Ln, Tracy, CA 95376</t>
        </is>
      </c>
      <c r="B53" s="5" t="inlineStr">
        <is>
          <t>Seller</t>
        </is>
      </c>
      <c r="C53" s="6" t="n">
        <v>510000</v>
      </c>
      <c r="D53" s="5" t="n">
        <v>3</v>
      </c>
      <c r="E53" s="7" t="n">
        <v>2</v>
      </c>
      <c r="F53" s="8" t="n">
        <v>1224</v>
      </c>
      <c r="G53" s="6">
        <f>C53/F53</f>
        <v/>
      </c>
      <c r="H53" s="9" t="inlineStr">
        <is>
          <t>2021-10-01</t>
        </is>
      </c>
    </row>
    <row r="54" ht="20" customHeight="1">
      <c r="A54" s="10" t="inlineStr">
        <is>
          <t>4250 Comet Cir, Union City, CA 94587</t>
        </is>
      </c>
      <c r="B54" s="11" t="inlineStr">
        <is>
          <t>Buyer</t>
        </is>
      </c>
      <c r="C54" s="12" t="n">
        <v>650000</v>
      </c>
      <c r="D54" s="11" t="n">
        <v>2</v>
      </c>
      <c r="E54" s="13" t="n">
        <v>2</v>
      </c>
      <c r="F54" s="14" t="n">
        <v>962</v>
      </c>
      <c r="G54" s="12">
        <f>C54/F54</f>
        <v/>
      </c>
      <c r="H54" s="15" t="inlineStr">
        <is>
          <t>2021-09-28</t>
        </is>
      </c>
    </row>
    <row r="55" ht="20" customHeight="1">
      <c r="A55" s="4" t="inlineStr">
        <is>
          <t>43 W Brilloso Ln, Mountain House, CA 95391</t>
        </is>
      </c>
      <c r="B55" s="5" t="inlineStr">
        <is>
          <t>Buyer</t>
        </is>
      </c>
      <c r="C55" s="6" t="n">
        <v>650000</v>
      </c>
      <c r="D55" s="5" t="n">
        <v>3</v>
      </c>
      <c r="E55" s="16" t="n">
        <v>2.5</v>
      </c>
      <c r="F55" s="8" t="n">
        <v>1833</v>
      </c>
      <c r="G55" s="6">
        <f>C55/F55</f>
        <v/>
      </c>
      <c r="H55" s="9" t="inlineStr">
        <is>
          <t>2021-09-03</t>
        </is>
      </c>
    </row>
    <row r="56" ht="20" customHeight="1">
      <c r="A56" s="10" t="inlineStr">
        <is>
          <t>2920 Woods Ct, San Jose, CA 95148</t>
        </is>
      </c>
      <c r="B56" s="11" t="inlineStr">
        <is>
          <t>Buyer</t>
        </is>
      </c>
      <c r="C56" s="12" t="n">
        <v>1250000</v>
      </c>
      <c r="D56" s="11" t="n">
        <v>4</v>
      </c>
      <c r="E56" s="13" t="n">
        <v>2</v>
      </c>
      <c r="F56" s="14" t="n">
        <v>1438</v>
      </c>
      <c r="G56" s="12">
        <f>C56/F56</f>
        <v/>
      </c>
      <c r="H56" s="15" t="inlineStr">
        <is>
          <t>2021-07-14</t>
        </is>
      </c>
    </row>
    <row r="57" ht="20" customHeight="1">
      <c r="A57" s="4" t="inlineStr">
        <is>
          <t>30991 Periwinkle Dr, Union City, CA 94587</t>
        </is>
      </c>
      <c r="B57" s="5" t="inlineStr">
        <is>
          <t>Seller</t>
        </is>
      </c>
      <c r="C57" s="6" t="n">
        <v>1280000</v>
      </c>
      <c r="D57" s="5" t="n">
        <v>4</v>
      </c>
      <c r="E57" s="7" t="n">
        <v>2</v>
      </c>
      <c r="F57" s="8" t="n">
        <v>1732</v>
      </c>
      <c r="G57" s="6">
        <f>C57/F57</f>
        <v/>
      </c>
      <c r="H57" s="9" t="inlineStr">
        <is>
          <t>2021-05-25</t>
        </is>
      </c>
    </row>
    <row r="58" ht="20" customHeight="1">
      <c r="A58" s="10" t="inlineStr">
        <is>
          <t>27603 Del Norte Ct, Hayward, CA 94545</t>
        </is>
      </c>
      <c r="B58" s="11" t="inlineStr">
        <is>
          <t>Buyer</t>
        </is>
      </c>
      <c r="C58" s="12" t="n">
        <v>532500</v>
      </c>
      <c r="D58" s="11" t="n">
        <v>2</v>
      </c>
      <c r="E58" s="17" t="n">
        <v>1.5</v>
      </c>
      <c r="F58" s="14" t="n">
        <v>988</v>
      </c>
      <c r="G58" s="12">
        <f>C58/F58</f>
        <v/>
      </c>
      <c r="H58" s="15" t="inlineStr">
        <is>
          <t>2021-05-12</t>
        </is>
      </c>
    </row>
    <row r="59" ht="20" customHeight="1">
      <c r="A59" s="4" t="inlineStr">
        <is>
          <t>1257 Gwerder St, Tracy, CA 95377</t>
        </is>
      </c>
      <c r="B59" s="5" t="inlineStr">
        <is>
          <t>Buyer</t>
        </is>
      </c>
      <c r="C59" s="6" t="n">
        <v>680000</v>
      </c>
      <c r="D59" s="5" t="n">
        <v>4</v>
      </c>
      <c r="E59" s="7" t="n">
        <v>3</v>
      </c>
      <c r="F59" s="8" t="n">
        <v>2374</v>
      </c>
      <c r="G59" s="6">
        <f>C59/F59</f>
        <v/>
      </c>
      <c r="H59" s="9" t="inlineStr">
        <is>
          <t>2021-05-06</t>
        </is>
      </c>
    </row>
    <row r="60" ht="20" customHeight="1">
      <c r="A60" s="10" t="inlineStr">
        <is>
          <t>1127 Koch Ln, San Jose, CA 95125</t>
        </is>
      </c>
      <c r="B60" s="11" t="inlineStr">
        <is>
          <t>Seller</t>
        </is>
      </c>
      <c r="C60" s="12" t="n">
        <v>1552000</v>
      </c>
      <c r="D60" s="11" t="n">
        <v>3</v>
      </c>
      <c r="E60" s="13" t="n">
        <v>2</v>
      </c>
      <c r="F60" s="14" t="n">
        <v>1440</v>
      </c>
      <c r="G60" s="12">
        <f>C60/F60</f>
        <v/>
      </c>
      <c r="H60" s="15" t="inlineStr">
        <is>
          <t>2021-04-16</t>
        </is>
      </c>
    </row>
    <row r="61" ht="20" customHeight="1">
      <c r="A61" s="4" t="inlineStr">
        <is>
          <t>4174 Reids Way, Tracy, CA 95377</t>
        </is>
      </c>
      <c r="B61" s="5" t="inlineStr">
        <is>
          <t>Buyer</t>
        </is>
      </c>
      <c r="C61" s="6" t="n">
        <v>830000</v>
      </c>
      <c r="D61" s="5" t="n">
        <v>5</v>
      </c>
      <c r="E61" s="16" t="n">
        <v>3.5</v>
      </c>
      <c r="F61" s="8" t="n">
        <v>3197</v>
      </c>
      <c r="G61" s="6">
        <f>C61/F61</f>
        <v/>
      </c>
      <c r="H61" s="9" t="inlineStr">
        <is>
          <t>2021-04-09</t>
        </is>
      </c>
    </row>
    <row r="62" ht="20" customHeight="1">
      <c r="A62" s="10" t="inlineStr">
        <is>
          <t>4682 Burke Dr, Santa Clara, CA 95054</t>
        </is>
      </c>
      <c r="B62" s="11" t="inlineStr">
        <is>
          <t>Seller</t>
        </is>
      </c>
      <c r="C62" s="12" t="n">
        <v>1405000</v>
      </c>
      <c r="D62" s="11" t="n">
        <v>3</v>
      </c>
      <c r="E62" s="13" t="n">
        <v>2</v>
      </c>
      <c r="F62" s="14" t="n">
        <v>1388</v>
      </c>
      <c r="G62" s="12">
        <f>C62/F62</f>
        <v/>
      </c>
      <c r="H62" s="15" t="inlineStr">
        <is>
          <t>2021-04-08</t>
        </is>
      </c>
    </row>
    <row r="63" ht="20" customHeight="1">
      <c r="A63" s="4" t="inlineStr">
        <is>
          <t>5690 Caprice Cmn, Fremont, CA 94538</t>
        </is>
      </c>
      <c r="B63" s="5" t="inlineStr">
        <is>
          <t>Seller</t>
        </is>
      </c>
      <c r="C63" s="6" t="n">
        <v>662000</v>
      </c>
      <c r="D63" s="5" t="n">
        <v>2</v>
      </c>
      <c r="E63" s="7" t="n">
        <v>2</v>
      </c>
      <c r="F63" s="8" t="n">
        <v>1157</v>
      </c>
      <c r="G63" s="6">
        <f>C63/F63</f>
        <v/>
      </c>
      <c r="H63" s="9" t="inlineStr">
        <is>
          <t>2021-03-26</t>
        </is>
      </c>
    </row>
    <row r="64" ht="20" customHeight="1">
      <c r="A64" s="10" t="inlineStr">
        <is>
          <t>930 Dolores Ave, San Leandro, CA 94577</t>
        </is>
      </c>
      <c r="B64" s="11" t="inlineStr">
        <is>
          <t>Seller</t>
        </is>
      </c>
      <c r="C64" s="12" t="n">
        <v>968000</v>
      </c>
      <c r="D64" s="11" t="n">
        <v>4</v>
      </c>
      <c r="E64" s="13" t="n">
        <v>2</v>
      </c>
      <c r="F64" s="14" t="n">
        <v>1644</v>
      </c>
      <c r="G64" s="12">
        <f>C64/F64</f>
        <v/>
      </c>
      <c r="H64" s="15" t="inlineStr">
        <is>
          <t>2021-03-11</t>
        </is>
      </c>
    </row>
    <row r="65" ht="20" customHeight="1">
      <c r="A65" s="4" t="inlineStr">
        <is>
          <t>2240 Freya Dr, San Jose, CA 95148</t>
        </is>
      </c>
      <c r="B65" s="5" t="inlineStr">
        <is>
          <t>Seller</t>
        </is>
      </c>
      <c r="C65" s="6" t="n">
        <v>954000</v>
      </c>
      <c r="D65" s="5" t="n">
        <v>3</v>
      </c>
      <c r="E65" s="7" t="n">
        <v>2</v>
      </c>
      <c r="F65" s="8" t="n">
        <v>1061</v>
      </c>
      <c r="G65" s="6">
        <f>C65/F65</f>
        <v/>
      </c>
      <c r="H65" s="9" t="inlineStr">
        <is>
          <t>2021-03-05</t>
        </is>
      </c>
    </row>
    <row r="66" ht="20" customHeight="1">
      <c r="A66" s="10" t="inlineStr">
        <is>
          <t>4624 Queen Anne Ct, Union City, CA 94587</t>
        </is>
      </c>
      <c r="B66" s="11" t="inlineStr">
        <is>
          <t>Buyer</t>
        </is>
      </c>
      <c r="C66" s="12" t="n">
        <v>967000</v>
      </c>
      <c r="D66" s="11" t="n">
        <v>3</v>
      </c>
      <c r="E66" s="13" t="n">
        <v>2</v>
      </c>
      <c r="F66" s="14" t="n">
        <v>1432</v>
      </c>
      <c r="G66" s="12">
        <f>C66/F66</f>
        <v/>
      </c>
      <c r="H66" s="15" t="inlineStr">
        <is>
          <t>2021-01-13</t>
        </is>
      </c>
    </row>
    <row r="67" ht="20" customHeight="1">
      <c r="A67" s="4" t="inlineStr">
        <is>
          <t>6411 Oscar Cir, Elk Grove, CA 95757</t>
        </is>
      </c>
      <c r="B67" s="5" t="inlineStr">
        <is>
          <t>Buyer</t>
        </is>
      </c>
      <c r="C67" s="6" t="n">
        <v>579000</v>
      </c>
      <c r="D67" s="5" t="n">
        <v>4</v>
      </c>
      <c r="E67" s="7" t="n">
        <v>3</v>
      </c>
      <c r="F67" s="8" t="n">
        <v>2359</v>
      </c>
      <c r="G67" s="6">
        <f>C67/F67</f>
        <v/>
      </c>
      <c r="H67" s="9" t="inlineStr">
        <is>
          <t>2020-12-04</t>
        </is>
      </c>
    </row>
    <row r="68" ht="20" customHeight="1">
      <c r="A68" s="10" t="inlineStr">
        <is>
          <t>3322 San Carlos Way, Union City, CA 94587</t>
        </is>
      </c>
      <c r="B68" s="11" t="inlineStr">
        <is>
          <t>Seller</t>
        </is>
      </c>
      <c r="C68" s="12" t="n">
        <v>1020100</v>
      </c>
      <c r="D68" s="11" t="n">
        <v>3</v>
      </c>
      <c r="E68" s="13" t="n">
        <v>2</v>
      </c>
      <c r="F68" s="14" t="n">
        <v>1428</v>
      </c>
      <c r="G68" s="12">
        <f>C68/F68</f>
        <v/>
      </c>
      <c r="H68" s="15" t="inlineStr">
        <is>
          <t>2020-11-23</t>
        </is>
      </c>
    </row>
    <row r="69" ht="20" customHeight="1">
      <c r="A69" s="4" t="inlineStr">
        <is>
          <t>3215 Nathan Ct, Fremont, CA 94539</t>
        </is>
      </c>
      <c r="B69" s="5" t="inlineStr">
        <is>
          <t>Buyer</t>
        </is>
      </c>
      <c r="C69" s="6" t="n">
        <v>1800000</v>
      </c>
      <c r="D69" s="5" t="n">
        <v>4</v>
      </c>
      <c r="E69" s="7" t="n">
        <v>3</v>
      </c>
      <c r="F69" s="8" t="n">
        <v>2591</v>
      </c>
      <c r="G69" s="6">
        <f>C69/F69</f>
        <v/>
      </c>
      <c r="H69" s="9" t="inlineStr">
        <is>
          <t>2020-11-18</t>
        </is>
      </c>
    </row>
    <row r="70" ht="20" customHeight="1">
      <c r="A70" s="10" t="inlineStr">
        <is>
          <t>1966 Inderbitzin Way, Manteca, CA 95336</t>
        </is>
      </c>
      <c r="B70" s="11" t="inlineStr">
        <is>
          <t>Buyer</t>
        </is>
      </c>
      <c r="C70" s="12" t="n">
        <v>565000</v>
      </c>
      <c r="D70" s="11" t="n">
        <v>5</v>
      </c>
      <c r="E70" s="13" t="n">
        <v>3</v>
      </c>
      <c r="F70" s="14" t="n">
        <v>3305</v>
      </c>
      <c r="G70" s="12">
        <f>C70/F70</f>
        <v/>
      </c>
      <c r="H70" s="15" t="inlineStr">
        <is>
          <t>2020-11-06</t>
        </is>
      </c>
    </row>
    <row r="71" ht="20" customHeight="1">
      <c r="A71" s="4" t="inlineStr">
        <is>
          <t>2388 Shoreside Ct, Santa Clara, CA 95054</t>
        </is>
      </c>
      <c r="B71" s="5" t="inlineStr">
        <is>
          <t>Buyer</t>
        </is>
      </c>
      <c r="C71" s="6" t="n">
        <v>1085000</v>
      </c>
      <c r="D71" s="5" t="n">
        <v>4</v>
      </c>
      <c r="E71" s="7" t="n">
        <v>3</v>
      </c>
      <c r="F71" s="8" t="n">
        <v>1800</v>
      </c>
      <c r="G71" s="6">
        <f>C71/F71</f>
        <v/>
      </c>
      <c r="H71" s="9" t="inlineStr">
        <is>
          <t>2020-10-27</t>
        </is>
      </c>
    </row>
    <row r="72" ht="20" customHeight="1">
      <c r="A72" s="10" t="inlineStr">
        <is>
          <t>353 Shepherd Ave, Hayward, CA 94544</t>
        </is>
      </c>
      <c r="B72" s="11" t="inlineStr">
        <is>
          <t>Buyer</t>
        </is>
      </c>
      <c r="C72" s="12" t="n">
        <v>649000</v>
      </c>
      <c r="D72" s="11" t="n">
        <v>3</v>
      </c>
      <c r="E72" s="17" t="n">
        <v>1.5</v>
      </c>
      <c r="F72" s="14" t="n">
        <v>1576</v>
      </c>
      <c r="G72" s="12">
        <f>C72/F72</f>
        <v/>
      </c>
      <c r="H72" s="15" t="inlineStr">
        <is>
          <t>2020-10-23</t>
        </is>
      </c>
    </row>
    <row r="73" ht="24" customHeight="1">
      <c r="A73" s="18" t="inlineStr">
        <is>
          <t>Total / Portfolio Volume</t>
        </is>
      </c>
      <c r="B73" s="18">
        <f>COUNTA(B5:B72)&amp;" Sales"</f>
        <v/>
      </c>
      <c r="C73" s="19">
        <f>SUM(C5:C72)</f>
        <v/>
      </c>
      <c r="D73" s="20" t="inlineStr"/>
      <c r="E73" s="20" t="inlineStr"/>
      <c r="F73" s="21">
        <f>SUM(F5:F72)</f>
        <v/>
      </c>
      <c r="G73" s="19">
        <f>C73/F73</f>
        <v/>
      </c>
      <c r="H73" s="20" t="inlineStr"/>
    </row>
    <row r="74" ht="22" customHeight="1">
      <c r="A74" s="22" t="inlineStr">
        <is>
          <t>Average (Mean)</t>
        </is>
      </c>
      <c r="B74" s="23" t="inlineStr"/>
      <c r="C74" s="24">
        <f>AVERAGE(C5:C72)</f>
        <v/>
      </c>
      <c r="D74" s="25">
        <f>AVERAGE(D5:D72)</f>
        <v/>
      </c>
      <c r="E74" s="25">
        <f>AVERAGE(E5:E72)</f>
        <v/>
      </c>
      <c r="F74" s="26">
        <f>AVERAGE(F5:F72)</f>
        <v/>
      </c>
      <c r="G74" s="24">
        <f>AVERAGE(G5:G72)</f>
        <v/>
      </c>
      <c r="H74" s="23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2026-10-17T11:29:29Z</dcterms:created>
  <dcterms:modified xmlns:dcterms="http://purl.org/dc/terms/" xmlns:xsi="http://www.w3.org/2001/XMLSchema-instance" xsi:type="dcterms:W3CDTF">2026-10-17T11:29:29Z</dcterms:modified>
</cp:coreProperties>
</file>